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МГТУ\ИБМ3\01_МоделиДан\"/>
    </mc:Choice>
  </mc:AlternateContent>
  <xr:revisionPtr revIDLastSave="0" documentId="13_ncr:1_{472EEB06-1CE4-4BD6-8045-CBA109DAE75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Модели данных" sheetId="17" r:id="rId1"/>
    <sheet name="Частота женских имён" sheetId="13" state="hidden" r:id="rId2"/>
    <sheet name="Женские имена" sheetId="12" state="hidden" r:id="rId3"/>
    <sheet name="Балльно-рейтинговая оценка" sheetId="11" state="hidden" r:id="rId4"/>
    <sheet name="2025" sheetId="1" state="hidden" r:id="rId5"/>
    <sheet name="Имена" sheetId="2" state="hidden" r:id="rId6"/>
    <sheet name="Пол" sheetId="3" state="hidden" r:id="rId7"/>
  </sheets>
  <definedNames>
    <definedName name="_xlcn.WorksheetConnection_Книга1Список1" hidden="1">Список[]</definedName>
    <definedName name="_xlcn.WorksheetConnection_Список2026.xlsxТаблица31" hidden="1">Таблица3[]</definedName>
  </definedNames>
  <calcPr calcId="191029"/>
  <pivotCaches>
    <pivotCache cacheId="0" r:id="rId8"/>
    <pivotCache cacheId="1" r:id="rId9"/>
    <pivotCache cacheId="2" r:id="rId10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Список" name="Список" connection="WorksheetConnection_Книга1!Список"/>
          <x15:modelTable id="Таблица3" name="Таблица3" connection="WorksheetConnection_Список-2026.xlsx!Таблица3"/>
        </x15:modelTables>
      </x15:dataModel>
    </ext>
  </extLst>
</workbook>
</file>

<file path=xl/calcChain.xml><?xml version="1.0" encoding="utf-8"?>
<calcChain xmlns="http://schemas.openxmlformats.org/spreadsheetml/2006/main">
  <c r="AI38" i="17" l="1"/>
  <c r="AB6" i="17"/>
  <c r="AB7" i="17"/>
  <c r="AB8" i="17"/>
  <c r="AB9" i="17"/>
  <c r="AB10" i="17"/>
  <c r="AB11" i="17"/>
  <c r="AB12" i="17"/>
  <c r="AB13" i="17"/>
  <c r="AB14" i="17"/>
  <c r="AB15" i="17"/>
  <c r="AB16" i="17"/>
  <c r="AB17" i="17"/>
  <c r="AB18" i="17"/>
  <c r="AB19" i="17"/>
  <c r="AB20" i="17"/>
  <c r="AB21" i="17"/>
  <c r="AB22" i="17"/>
  <c r="AB23" i="17"/>
  <c r="AB24" i="17"/>
  <c r="AB25" i="17"/>
  <c r="AB26" i="17"/>
  <c r="AB27" i="17"/>
  <c r="AB28" i="17"/>
  <c r="AB29" i="17"/>
  <c r="AB30" i="17"/>
  <c r="AB31" i="17"/>
  <c r="AB32" i="17"/>
  <c r="AB33" i="17"/>
  <c r="AB34" i="17"/>
  <c r="AB35" i="17"/>
  <c r="AB36" i="17"/>
  <c r="AB37" i="17"/>
  <c r="AF6" i="17"/>
  <c r="AF7" i="17"/>
  <c r="AF8" i="17"/>
  <c r="AF9" i="17"/>
  <c r="AF10" i="17"/>
  <c r="AF11" i="17"/>
  <c r="AF12" i="17"/>
  <c r="AF13" i="17"/>
  <c r="AF14" i="17"/>
  <c r="AF15" i="17"/>
  <c r="AF16" i="17"/>
  <c r="AF17" i="17"/>
  <c r="AF18" i="17"/>
  <c r="AF19" i="17"/>
  <c r="AF20" i="17"/>
  <c r="AF21" i="17"/>
  <c r="AF22" i="17"/>
  <c r="AF23" i="17"/>
  <c r="AF24" i="17"/>
  <c r="AF25" i="17"/>
  <c r="AF26" i="17"/>
  <c r="AF27" i="17"/>
  <c r="AF28" i="17"/>
  <c r="AF29" i="17"/>
  <c r="AF30" i="17"/>
  <c r="AF31" i="17"/>
  <c r="AF32" i="17"/>
  <c r="AF33" i="17"/>
  <c r="AF34" i="17"/>
  <c r="AF35" i="17"/>
  <c r="AF36" i="17"/>
  <c r="AF37" i="17"/>
  <c r="AE6" i="17"/>
  <c r="AE7" i="17"/>
  <c r="AE8" i="17"/>
  <c r="AE9" i="17"/>
  <c r="AE10" i="17"/>
  <c r="AE11" i="17"/>
  <c r="AE12" i="17"/>
  <c r="AE13" i="17"/>
  <c r="AE14" i="17"/>
  <c r="AE15" i="17"/>
  <c r="AE16" i="17"/>
  <c r="AE17" i="17"/>
  <c r="AE18" i="17"/>
  <c r="AE19" i="17"/>
  <c r="AE20" i="17"/>
  <c r="AE21" i="17"/>
  <c r="AE22" i="17"/>
  <c r="AE23" i="17"/>
  <c r="AE24" i="17"/>
  <c r="AE25" i="17"/>
  <c r="AE26" i="17"/>
  <c r="AE27" i="17"/>
  <c r="AE28" i="17"/>
  <c r="AE29" i="17"/>
  <c r="AE30" i="17"/>
  <c r="AE31" i="17"/>
  <c r="AE32" i="17"/>
  <c r="AE33" i="17"/>
  <c r="AE34" i="17"/>
  <c r="AE35" i="17"/>
  <c r="AE36" i="17"/>
  <c r="AE37" i="17"/>
  <c r="AD7" i="17"/>
  <c r="AD8" i="17"/>
  <c r="AD9" i="17"/>
  <c r="AD10" i="17"/>
  <c r="AD11" i="17"/>
  <c r="AD12" i="17"/>
  <c r="AD13" i="17"/>
  <c r="AD14" i="17"/>
  <c r="AD15" i="17"/>
  <c r="AD16" i="17"/>
  <c r="AD17" i="17"/>
  <c r="AD18" i="17"/>
  <c r="AD19" i="17"/>
  <c r="AD20" i="17"/>
  <c r="AD21" i="17"/>
  <c r="AD22" i="17"/>
  <c r="AD23" i="17"/>
  <c r="AD24" i="17"/>
  <c r="AD25" i="17"/>
  <c r="AD26" i="17"/>
  <c r="AD27" i="17"/>
  <c r="AD28" i="17"/>
  <c r="AD29" i="17"/>
  <c r="AD30" i="17"/>
  <c r="AD31" i="17"/>
  <c r="AD32" i="17"/>
  <c r="AD33" i="17"/>
  <c r="AD34" i="17"/>
  <c r="AD35" i="17"/>
  <c r="AD36" i="17"/>
  <c r="AD37" i="17"/>
  <c r="AD6" i="17"/>
  <c r="AD38" i="17" s="1"/>
  <c r="AC7" i="17"/>
  <c r="AC8" i="17"/>
  <c r="AC9" i="17"/>
  <c r="AC10" i="17"/>
  <c r="AC11" i="17"/>
  <c r="AC12" i="17"/>
  <c r="AC13" i="17"/>
  <c r="AC14" i="17"/>
  <c r="AC15" i="17"/>
  <c r="AC16" i="17"/>
  <c r="AC17" i="17"/>
  <c r="AC18" i="17"/>
  <c r="AC19" i="17"/>
  <c r="AC20" i="17"/>
  <c r="AC21" i="17"/>
  <c r="AC22" i="17"/>
  <c r="AC23" i="17"/>
  <c r="AC24" i="17"/>
  <c r="AC25" i="17"/>
  <c r="AC26" i="17"/>
  <c r="AC27" i="17"/>
  <c r="AC28" i="17"/>
  <c r="AC29" i="17"/>
  <c r="AC30" i="17"/>
  <c r="AC31" i="17"/>
  <c r="AC32" i="17"/>
  <c r="AC33" i="17"/>
  <c r="AC34" i="17"/>
  <c r="AC35" i="17"/>
  <c r="AC36" i="17"/>
  <c r="AC37" i="17"/>
  <c r="AC6" i="17"/>
  <c r="AC38" i="17" s="1"/>
  <c r="AA38" i="17"/>
  <c r="Z38" i="17"/>
  <c r="Y38" i="17"/>
  <c r="X38" i="17"/>
  <c r="W38" i="17"/>
  <c r="V38" i="17"/>
  <c r="U38" i="17"/>
  <c r="T38" i="17"/>
  <c r="AE38" i="17" l="1"/>
  <c r="AF38" i="17"/>
  <c r="AG37" i="17"/>
  <c r="AG36" i="17"/>
  <c r="AG35" i="17"/>
  <c r="AG34" i="17"/>
  <c r="AG33" i="17"/>
  <c r="AG32" i="17"/>
  <c r="AG31" i="17"/>
  <c r="AG30" i="17"/>
  <c r="AG29" i="17"/>
  <c r="AG28" i="17"/>
  <c r="AG27" i="17"/>
  <c r="AG26" i="17"/>
  <c r="AG25" i="17"/>
  <c r="AG24" i="17"/>
  <c r="AG23" i="17"/>
  <c r="AG22" i="17"/>
  <c r="AG21" i="17"/>
  <c r="AG20" i="17"/>
  <c r="AG19" i="17"/>
  <c r="AG18" i="17"/>
  <c r="AG17" i="17"/>
  <c r="AG16" i="17"/>
  <c r="AG15" i="17"/>
  <c r="AG14" i="17"/>
  <c r="AG13" i="17"/>
  <c r="AG12" i="17"/>
  <c r="AG11" i="17"/>
  <c r="AG10" i="17"/>
  <c r="AG9" i="17"/>
  <c r="AG8" i="17"/>
  <c r="AG7" i="17"/>
  <c r="AG6" i="17"/>
  <c r="P38" i="17"/>
  <c r="Q38" i="17"/>
  <c r="R38" i="17"/>
  <c r="O38" i="17"/>
  <c r="I38" i="17"/>
  <c r="J38" i="17"/>
  <c r="K38" i="17"/>
  <c r="L38" i="17"/>
  <c r="M38" i="17"/>
  <c r="H38" i="17"/>
  <c r="G38" i="17"/>
  <c r="N6" i="17"/>
  <c r="S6" i="17" s="1"/>
  <c r="AH6" i="17" s="1"/>
  <c r="N7" i="17"/>
  <c r="S7" i="17" s="1"/>
  <c r="AH7" i="17" s="1"/>
  <c r="N8" i="17"/>
  <c r="S8" i="17" s="1"/>
  <c r="AH8" i="17" s="1"/>
  <c r="N9" i="17"/>
  <c r="S9" i="17" s="1"/>
  <c r="AH9" i="17" s="1"/>
  <c r="N10" i="17"/>
  <c r="S10" i="17" s="1"/>
  <c r="AH10" i="17" s="1"/>
  <c r="N11" i="17"/>
  <c r="S11" i="17" s="1"/>
  <c r="AH11" i="17" s="1"/>
  <c r="N12" i="17"/>
  <c r="S12" i="17" s="1"/>
  <c r="AH12" i="17" s="1"/>
  <c r="N13" i="17"/>
  <c r="S13" i="17" s="1"/>
  <c r="AH13" i="17" s="1"/>
  <c r="N14" i="17"/>
  <c r="S14" i="17" s="1"/>
  <c r="AH14" i="17" s="1"/>
  <c r="N15" i="17"/>
  <c r="S15" i="17" s="1"/>
  <c r="AH15" i="17" s="1"/>
  <c r="N16" i="17"/>
  <c r="S16" i="17" s="1"/>
  <c r="AH16" i="17" s="1"/>
  <c r="N17" i="17"/>
  <c r="S17" i="17" s="1"/>
  <c r="AH17" i="17" s="1"/>
  <c r="N18" i="17"/>
  <c r="S18" i="17" s="1"/>
  <c r="AH18" i="17" s="1"/>
  <c r="N19" i="17"/>
  <c r="S19" i="17" s="1"/>
  <c r="AH19" i="17" s="1"/>
  <c r="N20" i="17"/>
  <c r="S20" i="17" s="1"/>
  <c r="AH20" i="17" s="1"/>
  <c r="N21" i="17"/>
  <c r="S21" i="17" s="1"/>
  <c r="AH21" i="17" s="1"/>
  <c r="N22" i="17"/>
  <c r="S22" i="17" s="1"/>
  <c r="AH22" i="17" s="1"/>
  <c r="N23" i="17"/>
  <c r="S23" i="17" s="1"/>
  <c r="AH23" i="17" s="1"/>
  <c r="N24" i="17"/>
  <c r="S24" i="17" s="1"/>
  <c r="AH24" i="17" s="1"/>
  <c r="N25" i="17"/>
  <c r="S25" i="17" s="1"/>
  <c r="AH25" i="17" s="1"/>
  <c r="N26" i="17"/>
  <c r="S26" i="17" s="1"/>
  <c r="AH26" i="17" s="1"/>
  <c r="N27" i="17"/>
  <c r="S27" i="17" s="1"/>
  <c r="AH27" i="17" s="1"/>
  <c r="N28" i="17"/>
  <c r="S28" i="17" s="1"/>
  <c r="AH28" i="17" s="1"/>
  <c r="N29" i="17"/>
  <c r="S29" i="17" s="1"/>
  <c r="AH29" i="17" s="1"/>
  <c r="N30" i="17"/>
  <c r="S30" i="17" s="1"/>
  <c r="AH30" i="17" s="1"/>
  <c r="N31" i="17"/>
  <c r="S31" i="17" s="1"/>
  <c r="AH31" i="17" s="1"/>
  <c r="N32" i="17"/>
  <c r="S32" i="17" s="1"/>
  <c r="AH32" i="17" s="1"/>
  <c r="N33" i="17"/>
  <c r="S33" i="17" s="1"/>
  <c r="AH33" i="17" s="1"/>
  <c r="N34" i="17"/>
  <c r="S34" i="17" s="1"/>
  <c r="AH34" i="17" s="1"/>
  <c r="N35" i="17"/>
  <c r="S35" i="17" s="1"/>
  <c r="AH35" i="17" s="1"/>
  <c r="N36" i="17"/>
  <c r="S36" i="17" s="1"/>
  <c r="AH36" i="17" s="1"/>
  <c r="N37" i="17"/>
  <c r="S37" i="17" s="1"/>
  <c r="AH37" i="17" s="1"/>
  <c r="I17" i="11"/>
  <c r="H17" i="11"/>
  <c r="T2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5" i="1"/>
  <c r="T26" i="1"/>
  <c r="T27" i="1"/>
  <c r="T28" i="1"/>
  <c r="T29" i="1"/>
  <c r="T30" i="1"/>
  <c r="T31" i="1"/>
  <c r="R32" i="1"/>
  <c r="AH38" i="17" l="1"/>
  <c r="H14" i="11"/>
  <c r="H15" i="11"/>
  <c r="H16" i="11"/>
  <c r="H13" i="11"/>
  <c r="P35" i="1"/>
  <c r="P36" i="1"/>
  <c r="P34" i="1"/>
  <c r="P33" i="1"/>
  <c r="K35" i="1"/>
  <c r="M35" i="1"/>
  <c r="N35" i="1"/>
  <c r="L35" i="1"/>
  <c r="K34" i="1"/>
  <c r="L34" i="1"/>
  <c r="M34" i="1"/>
  <c r="N34" i="1"/>
  <c r="L33" i="1"/>
  <c r="M33" i="1"/>
  <c r="N33" i="1"/>
  <c r="L32" i="1"/>
  <c r="M32" i="1"/>
  <c r="N32" i="1"/>
  <c r="K33" i="1"/>
  <c r="K32" i="1"/>
  <c r="P32" i="1"/>
  <c r="J33" i="1"/>
  <c r="J32" i="1"/>
  <c r="I32" i="1"/>
  <c r="H32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8" i="1"/>
  <c r="O27" i="1"/>
  <c r="O29" i="1"/>
  <c r="O30" i="1"/>
  <c r="O31" i="1"/>
  <c r="F32" i="1" l="1"/>
  <c r="F33" i="1"/>
  <c r="F34" i="1"/>
  <c r="F35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ThisWorkbookDataModel" description="Модель данных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00000000-0015-0000-FFFF-FFFF01000000}" name="WorksheetConnection_Книга1!Список" type="102" refreshedVersion="8" minRefreshableVersion="5">
    <extLst>
      <ext xmlns:x15="http://schemas.microsoft.com/office/spreadsheetml/2010/11/main" uri="{DE250136-89BD-433C-8126-D09CA5730AF9}">
        <x15:connection id="Список" autoDelete="1">
          <x15:rangePr sourceName="_xlcn.WorksheetConnection_Книга1Список1"/>
        </x15:connection>
      </ext>
    </extLst>
  </connection>
  <connection id="3" xr16:uid="{D51B0C68-4034-44DE-948F-0CA53B02E9BC}" name="WorksheetConnection_Список-2026.xlsx!Таблица3" type="102" refreshedVersion="8" minRefreshableVersion="5">
    <extLst>
      <ext xmlns:x15="http://schemas.microsoft.com/office/spreadsheetml/2010/11/main" uri="{DE250136-89BD-433C-8126-D09CA5730AF9}">
        <x15:connection id="Таблица3" autoDelete="1">
          <x15:rangePr sourceName="_xlcn.WorksheetConnection_Список2026.xlsxТаблица31"/>
        </x15:connection>
      </ext>
    </extLst>
  </connection>
</connections>
</file>

<file path=xl/sharedStrings.xml><?xml version="1.0" encoding="utf-8"?>
<sst xmlns="http://schemas.openxmlformats.org/spreadsheetml/2006/main" count="531" uniqueCount="210">
  <si>
    <t>Атаманова Софья</t>
  </si>
  <si>
    <t>Ахадова Диера</t>
  </si>
  <si>
    <t>Фамилия, имя</t>
  </si>
  <si>
    <t>№</t>
  </si>
  <si>
    <t>Бабченко Елизавета</t>
  </si>
  <si>
    <t>Волкова Варвара</t>
  </si>
  <si>
    <t>Гаврилова Анна</t>
  </si>
  <si>
    <t>Гаммал Дмитрий</t>
  </si>
  <si>
    <t>Головастикова Полина</t>
  </si>
  <si>
    <t>Горбунова Вероника</t>
  </si>
  <si>
    <t>Коваленко Елизавета</t>
  </si>
  <si>
    <t>Кольцова Анастасия</t>
  </si>
  <si>
    <t>Крючков Даниил</t>
  </si>
  <si>
    <t>Мельникова Полина</t>
  </si>
  <si>
    <t>Митрохина Анастасия</t>
  </si>
  <si>
    <t>Михайлова Виктория</t>
  </si>
  <si>
    <t>Осипов Даниил</t>
  </si>
  <si>
    <t>Прищенко Артём</t>
  </si>
  <si>
    <t>Рак Андрей</t>
  </si>
  <si>
    <t>Рытикова Кирена</t>
  </si>
  <si>
    <t>Сигорский Александр</t>
  </si>
  <si>
    <t>Субочев Иван</t>
  </si>
  <si>
    <t>Уйданов Лев</t>
  </si>
  <si>
    <t>Цугель Арсений</t>
  </si>
  <si>
    <t>Хабибулин Данил</t>
  </si>
  <si>
    <t>Щетинина Анна</t>
  </si>
  <si>
    <t>Якубович Анна</t>
  </si>
  <si>
    <t>Янбухтина Мария</t>
  </si>
  <si>
    <t>ж</t>
  </si>
  <si>
    <t>м</t>
  </si>
  <si>
    <t>Софья</t>
  </si>
  <si>
    <t>Диера</t>
  </si>
  <si>
    <t>Елизавета</t>
  </si>
  <si>
    <t>Варвара</t>
  </si>
  <si>
    <t>Анна</t>
  </si>
  <si>
    <t>Дмитрий</t>
  </si>
  <si>
    <t>Полина</t>
  </si>
  <si>
    <t>Вероника</t>
  </si>
  <si>
    <t>Богдан</t>
  </si>
  <si>
    <t>Анастасия</t>
  </si>
  <si>
    <t>Даниил</t>
  </si>
  <si>
    <t>Виктория</t>
  </si>
  <si>
    <t>Артём</t>
  </si>
  <si>
    <t>Андрей</t>
  </si>
  <si>
    <t>Кирена</t>
  </si>
  <si>
    <t>Александр</t>
  </si>
  <si>
    <t>Иван</t>
  </si>
  <si>
    <t>Лев</t>
  </si>
  <si>
    <t>Арсений</t>
  </si>
  <si>
    <t>Данил</t>
  </si>
  <si>
    <t>Мария</t>
  </si>
  <si>
    <t>Имя</t>
  </si>
  <si>
    <t>Названия строк</t>
  </si>
  <si>
    <t>Общий итог</t>
  </si>
  <si>
    <t>Число элементов в столбце Имя</t>
  </si>
  <si>
    <t xml:space="preserve">Самые частые </t>
  </si>
  <si>
    <t>2024 год</t>
  </si>
  <si>
    <t>2021-2022</t>
  </si>
  <si>
    <t>Пол</t>
  </si>
  <si>
    <t>Число элементов в столбце Пол</t>
  </si>
  <si>
    <t>08.сен</t>
  </si>
  <si>
    <t>22.сен</t>
  </si>
  <si>
    <t>06.окт</t>
  </si>
  <si>
    <t>Лаб.1</t>
  </si>
  <si>
    <t>20.окт</t>
  </si>
  <si>
    <t>Вар. ЛР</t>
  </si>
  <si>
    <t>27.окт</t>
  </si>
  <si>
    <t>Лаб.2</t>
  </si>
  <si>
    <t>17.ноя</t>
  </si>
  <si>
    <t>Лаб.3</t>
  </si>
  <si>
    <t>РК</t>
  </si>
  <si>
    <t>01.дек</t>
  </si>
  <si>
    <t>Лаб.4</t>
  </si>
  <si>
    <t>22.дек</t>
  </si>
  <si>
    <t>15.дек</t>
  </si>
  <si>
    <t>Дебуля Богдан</t>
  </si>
  <si>
    <t>*</t>
  </si>
  <si>
    <t>+</t>
  </si>
  <si>
    <t>Встреч</t>
  </si>
  <si>
    <t>ЛР1</t>
  </si>
  <si>
    <t>ЛР2</t>
  </si>
  <si>
    <t>ЛР3</t>
  </si>
  <si>
    <t>ЛР4</t>
  </si>
  <si>
    <t>Выполнение практикума по курсу "Модели данных" студентами группы ИБМ3-34Б (2025)</t>
  </si>
  <si>
    <t>Баллы2</t>
  </si>
  <si>
    <t>Баллы1</t>
  </si>
  <si>
    <t>ДЗ</t>
  </si>
  <si>
    <t>Баллы3</t>
  </si>
  <si>
    <t>Алдонина Дарья</t>
  </si>
  <si>
    <t>Андреева Анастасия</t>
  </si>
  <si>
    <t>Антонова Ксения</t>
  </si>
  <si>
    <r>
      <t>Антошк</t>
    </r>
    <r>
      <rPr>
        <i/>
        <sz val="11"/>
        <color theme="1"/>
        <rFont val="Calibri"/>
        <family val="2"/>
        <charset val="204"/>
        <scheme val="minor"/>
      </rPr>
      <t>и</t>
    </r>
    <r>
      <rPr>
        <sz val="11"/>
        <color theme="1"/>
        <rFont val="Calibri"/>
        <family val="2"/>
        <charset val="204"/>
        <scheme val="minor"/>
      </rPr>
      <t>ева Тамильяна</t>
    </r>
  </si>
  <si>
    <t>Анфиногенова Мария</t>
  </si>
  <si>
    <t>Божедарова Александра</t>
  </si>
  <si>
    <t>Бухвалова Вероника</t>
  </si>
  <si>
    <t>Войченко Елена</t>
  </si>
  <si>
    <t>Гараев Роман</t>
  </si>
  <si>
    <t>Громадская Анастасия</t>
  </si>
  <si>
    <t>Громов Александр</t>
  </si>
  <si>
    <t>Дмитриева Варвара</t>
  </si>
  <si>
    <t>Козлова Вероника</t>
  </si>
  <si>
    <t>Копров Владислав</t>
  </si>
  <si>
    <t>Кутепов Артём</t>
  </si>
  <si>
    <t>Махмудова Екатерина</t>
  </si>
  <si>
    <t>Мордвинов Матвей</t>
  </si>
  <si>
    <t>Норжилова Номина</t>
  </si>
  <si>
    <t>Потапчик Дарья</t>
  </si>
  <si>
    <t>Резвяков Фёдор</t>
  </si>
  <si>
    <t>Сергеев Даниил</t>
  </si>
  <si>
    <t>Сучкова Юлия</t>
  </si>
  <si>
    <t>Слепокуров Иван</t>
  </si>
  <si>
    <t>Сцепура Дмитрий</t>
  </si>
  <si>
    <t>Сысуева Дарья</t>
  </si>
  <si>
    <t>Фролов Александр</t>
  </si>
  <si>
    <t>Черняева Алиса</t>
  </si>
  <si>
    <t>Шабоева Кристина</t>
  </si>
  <si>
    <t>Фролова Мария</t>
  </si>
  <si>
    <t>Эрдни-Горяева Валерия</t>
  </si>
  <si>
    <t>Юдин Иван</t>
  </si>
  <si>
    <t>Яшина Василиса</t>
  </si>
  <si>
    <t>09.сен</t>
  </si>
  <si>
    <t>23.сен</t>
  </si>
  <si>
    <t>Оценка знаний</t>
  </si>
  <si>
    <t>Рубежные контроли</t>
  </si>
  <si>
    <t>Домашнее задание</t>
  </si>
  <si>
    <t>Посещение лекций</t>
  </si>
  <si>
    <t>Оценка навыков</t>
  </si>
  <si>
    <t>Выполнение лабораторных</t>
  </si>
  <si>
    <t>Посещение практикума</t>
  </si>
  <si>
    <t>Дарья</t>
  </si>
  <si>
    <t>Ксения</t>
  </si>
  <si>
    <t>Тамильяна</t>
  </si>
  <si>
    <t>Александра</t>
  </si>
  <si>
    <t>Елена</t>
  </si>
  <si>
    <t>Роман</t>
  </si>
  <si>
    <t>Владислав</t>
  </si>
  <si>
    <t>Екатерина</t>
  </si>
  <si>
    <t>Матвей</t>
  </si>
  <si>
    <t>Номина</t>
  </si>
  <si>
    <t>Фёдор</t>
  </si>
  <si>
    <t>Юлия</t>
  </si>
  <si>
    <t>Алиса</t>
  </si>
  <si>
    <t>Кристина</t>
  </si>
  <si>
    <t>Валерия</t>
  </si>
  <si>
    <t>Василиса</t>
  </si>
  <si>
    <t>07.окт</t>
  </si>
  <si>
    <t>21.окт</t>
  </si>
  <si>
    <t>18.ноя</t>
  </si>
  <si>
    <t>02.дек</t>
  </si>
  <si>
    <t>16.дек</t>
  </si>
  <si>
    <t>30.дек</t>
  </si>
  <si>
    <t>Жен</t>
  </si>
  <si>
    <t>8 дней занятий (16 лекций)</t>
  </si>
  <si>
    <t>8 дней занятий (16 акад. часов)</t>
  </si>
  <si>
    <t>3 РК, до 10 баллов каждая</t>
  </si>
  <si>
    <t>до 12 баллов</t>
  </si>
  <si>
    <t>4 ЛР, до 42 баллов вместе</t>
  </si>
  <si>
    <t>02.сен</t>
  </si>
  <si>
    <t>16.сен</t>
  </si>
  <si>
    <t>30.сен</t>
  </si>
  <si>
    <t>14.окт</t>
  </si>
  <si>
    <t>28.окт</t>
  </si>
  <si>
    <t>11.дек</t>
  </si>
  <si>
    <t>25.дек</t>
  </si>
  <si>
    <t>КМД, ЛМД</t>
  </si>
  <si>
    <t>NF, ФМД</t>
  </si>
  <si>
    <t>НСИ, ROLAP</t>
  </si>
  <si>
    <t>EAV, GM</t>
  </si>
  <si>
    <t>DV, AM</t>
  </si>
  <si>
    <t xml:space="preserve">УД и DQ </t>
  </si>
  <si>
    <t>РК1</t>
  </si>
  <si>
    <t>РК2</t>
  </si>
  <si>
    <t>РК3</t>
  </si>
  <si>
    <t>н30сен</t>
  </si>
  <si>
    <t>к28окт</t>
  </si>
  <si>
    <t>с25дек</t>
  </si>
  <si>
    <t>н14окт</t>
  </si>
  <si>
    <t>Фор-маты</t>
  </si>
  <si>
    <t>к23сен</t>
  </si>
  <si>
    <t>н21окт</t>
  </si>
  <si>
    <t>н02дек</t>
  </si>
  <si>
    <t>н25дек</t>
  </si>
  <si>
    <t>к16дек</t>
  </si>
  <si>
    <t>к30дек</t>
  </si>
  <si>
    <t>a</t>
  </si>
  <si>
    <t>Лекции</t>
  </si>
  <si>
    <t>Итог</t>
  </si>
  <si>
    <t>Отч1</t>
  </si>
  <si>
    <t>Отч2</t>
  </si>
  <si>
    <t>Отч3</t>
  </si>
  <si>
    <t>Отч4</t>
  </si>
  <si>
    <t>Теория</t>
  </si>
  <si>
    <t>Практика</t>
  </si>
  <si>
    <t>Лабы</t>
  </si>
  <si>
    <t>Успеваемость студентов группы ИБМ3-34Б по курсу "Модели данных" (2026)</t>
  </si>
  <si>
    <t>Книги</t>
  </si>
  <si>
    <t>А. Рудазов "Архимаг"</t>
  </si>
  <si>
    <t>Э. Бронте "Грозовой перевал"</t>
  </si>
  <si>
    <t>Стругацкие "Хромая судьба"</t>
  </si>
  <si>
    <t>Э. М. Ремарк "На западном фронте без перемен"</t>
  </si>
  <si>
    <t>Поварнин "Как читать книги?"</t>
  </si>
  <si>
    <t>У. Голдинг "Повелитель мух"</t>
  </si>
  <si>
    <t>Стругацкие "Пикник на обочине"</t>
  </si>
  <si>
    <t>С. Хантингтон "Столкновение цивилизаций"</t>
  </si>
  <si>
    <t>Ф. Джеймс "Лицо её закройте"</t>
  </si>
  <si>
    <t>А. Михаэлидес "Безмолвный пациент"</t>
  </si>
  <si>
    <t>Ф. Кафка "Превращение"</t>
  </si>
  <si>
    <t>М. Митчел "Унесённые ветром"</t>
  </si>
  <si>
    <r>
      <t xml:space="preserve">А. Камю "Миф о Сизифе", "Бунтующий человек"; </t>
    </r>
    <r>
      <rPr>
        <sz val="11"/>
        <color rgb="FFFF0000"/>
        <rFont val="Calibri"/>
        <family val="2"/>
        <charset val="204"/>
        <scheme val="minor"/>
      </rPr>
      <t>Ф. Достоевский "Братья Карамазовы"</t>
    </r>
    <r>
      <rPr>
        <sz val="11"/>
        <color theme="1"/>
        <rFont val="Calibri"/>
        <family val="2"/>
        <charset val="204"/>
        <scheme val="minor"/>
      </rPr>
      <t>; Г. Гессе</t>
    </r>
  </si>
  <si>
    <r>
      <rPr>
        <sz val="11"/>
        <color rgb="FFFF0000"/>
        <rFont val="Calibri"/>
        <family val="2"/>
        <charset val="204"/>
        <scheme val="minor"/>
      </rPr>
      <t>Дж. Д. Сэлинджер "Над пропостью во ржи"</t>
    </r>
    <r>
      <rPr>
        <sz val="11"/>
        <color theme="1"/>
        <rFont val="Calibri"/>
        <family val="2"/>
        <charset val="204"/>
        <scheme val="minor"/>
      </rPr>
      <t>; Э. Вейр "Проект Аве Мария" (англ.)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</si>
</sst>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b/>
      <sz val="14"/>
      <color rgb="FF002060"/>
      <name val="Arial"/>
      <family val="2"/>
      <charset val="204"/>
    </font>
    <font>
      <strike/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sz val="9"/>
      <color theme="1"/>
      <name val="Arial Narrow"/>
      <family val="2"/>
      <charset val="204"/>
    </font>
    <font>
      <sz val="8"/>
      <color theme="1"/>
      <name val="Calibri"/>
      <family val="2"/>
      <charset val="204"/>
      <scheme val="minor"/>
    </font>
    <font>
      <b/>
      <sz val="12"/>
      <color rgb="FF002060"/>
      <name val="Arial"/>
      <family val="2"/>
      <charset val="204"/>
    </font>
    <font>
      <sz val="11"/>
      <color theme="2" tint="-9.9978637043366805E-2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-0.249977111117893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theme="4" tint="0.39997558519241921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2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9" fontId="0" fillId="0" borderId="0" xfId="0" applyNumberFormat="1"/>
    <xf numFmtId="0" fontId="0" fillId="3" borderId="0" xfId="0" applyFill="1" applyAlignment="1">
      <alignment horizontal="left"/>
    </xf>
    <xf numFmtId="0" fontId="0" fillId="4" borderId="0" xfId="0" applyFill="1" applyAlignment="1">
      <alignment horizontal="left"/>
    </xf>
    <xf numFmtId="16" fontId="0" fillId="0" borderId="0" xfId="0" applyNumberFormat="1"/>
    <xf numFmtId="0" fontId="0" fillId="0" borderId="0" xfId="0" applyAlignment="1">
      <alignment horizontal="center"/>
    </xf>
    <xf numFmtId="0" fontId="0" fillId="5" borderId="3" xfId="0" applyFill="1" applyBorder="1" applyAlignment="1">
      <alignment horizontal="center" wrapText="1"/>
    </xf>
    <xf numFmtId="0" fontId="1" fillId="0" borderId="0" xfId="0" applyFont="1"/>
    <xf numFmtId="0" fontId="0" fillId="4" borderId="0" xfId="0" applyFill="1"/>
    <xf numFmtId="0" fontId="0" fillId="4" borderId="0" xfId="0" applyFill="1" applyAlignment="1">
      <alignment horizontal="right"/>
    </xf>
    <xf numFmtId="0" fontId="0" fillId="0" borderId="0" xfId="0" quotePrefix="1" applyAlignment="1">
      <alignment horizontal="center" vertical="center"/>
    </xf>
    <xf numFmtId="0" fontId="0" fillId="6" borderId="0" xfId="0" quotePrefix="1" applyFill="1" applyAlignment="1">
      <alignment horizontal="center" vertical="center"/>
    </xf>
    <xf numFmtId="0" fontId="0" fillId="6" borderId="0" xfId="0" applyFill="1" applyAlignment="1">
      <alignment horizontal="center"/>
    </xf>
    <xf numFmtId="0" fontId="1" fillId="0" borderId="1" xfId="0" applyFont="1" applyBorder="1"/>
    <xf numFmtId="0" fontId="0" fillId="3" borderId="0" xfId="0" quotePrefix="1" applyFill="1" applyAlignment="1">
      <alignment horizontal="center" vertical="center"/>
    </xf>
    <xf numFmtId="0" fontId="0" fillId="3" borderId="0" xfId="0" applyFill="1" applyAlignment="1">
      <alignment horizontal="center"/>
    </xf>
    <xf numFmtId="16" fontId="2" fillId="7" borderId="0" xfId="0" applyNumberFormat="1" applyFont="1" applyFill="1"/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vertical="center"/>
    </xf>
    <xf numFmtId="0" fontId="4" fillId="0" borderId="0" xfId="0" applyFont="1"/>
    <xf numFmtId="0" fontId="0" fillId="0" borderId="4" xfId="0" applyBorder="1"/>
    <xf numFmtId="0" fontId="0" fillId="0" borderId="0" xfId="0" quotePrefix="1" applyAlignment="1">
      <alignment horizontal="center"/>
    </xf>
    <xf numFmtId="0" fontId="0" fillId="0" borderId="1" xfId="0" applyBorder="1"/>
    <xf numFmtId="0" fontId="0" fillId="0" borderId="5" xfId="0" applyBorder="1"/>
    <xf numFmtId="2" fontId="0" fillId="0" borderId="0" xfId="0" applyNumberFormat="1"/>
    <xf numFmtId="0" fontId="7" fillId="5" borderId="0" xfId="0" applyFont="1" applyFill="1" applyAlignment="1">
      <alignment horizontal="center" wrapText="1"/>
    </xf>
    <xf numFmtId="0" fontId="7" fillId="5" borderId="0" xfId="0" applyFont="1" applyFill="1" applyAlignment="1">
      <alignment horizontal="center" vertical="center"/>
    </xf>
    <xf numFmtId="0" fontId="7" fillId="5" borderId="0" xfId="0" applyFont="1" applyFill="1" applyAlignment="1">
      <alignment horizontal="center" vertical="center" wrapText="1"/>
    </xf>
    <xf numFmtId="0" fontId="8" fillId="5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top"/>
    </xf>
    <xf numFmtId="0" fontId="0" fillId="5" borderId="6" xfId="0" applyFill="1" applyBorder="1" applyAlignment="1">
      <alignment horizontal="center" wrapText="1"/>
    </xf>
    <xf numFmtId="0" fontId="9" fillId="5" borderId="0" xfId="0" applyFont="1" applyFill="1" applyAlignment="1">
      <alignment horizontal="right" vertical="center" wrapText="1"/>
    </xf>
    <xf numFmtId="0" fontId="10" fillId="0" borderId="0" xfId="0" applyFont="1" applyAlignment="1">
      <alignment vertical="center"/>
    </xf>
    <xf numFmtId="0" fontId="0" fillId="5" borderId="0" xfId="0" applyFill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3" xfId="0" applyFill="1" applyBorder="1" applyAlignment="1">
      <alignment horizontal="center" wrapText="1"/>
    </xf>
    <xf numFmtId="0" fontId="0" fillId="5" borderId="0" xfId="0" applyFill="1" applyAlignment="1">
      <alignment horizontal="center" wrapText="1"/>
    </xf>
    <xf numFmtId="16" fontId="2" fillId="7" borderId="0" xfId="0" applyNumberFormat="1" applyFont="1" applyFill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NumberFormat="1" applyAlignment="1">
      <alignment vertical="top"/>
    </xf>
    <xf numFmtId="0" fontId="0" fillId="0" borderId="5" xfId="0" applyFont="1" applyBorder="1" applyAlignment="1">
      <alignment vertical="top"/>
    </xf>
    <xf numFmtId="0" fontId="0" fillId="0" borderId="0" xfId="0" applyAlignment="1">
      <alignment vertical="top"/>
    </xf>
    <xf numFmtId="0" fontId="0" fillId="0" borderId="0" xfId="0" quotePrefix="1" applyAlignment="1">
      <alignment horizontal="center" vertical="top"/>
    </xf>
    <xf numFmtId="0" fontId="1" fillId="0" borderId="0" xfId="0" applyFont="1" applyAlignment="1">
      <alignment vertical="top"/>
    </xf>
    <xf numFmtId="0" fontId="11" fillId="0" borderId="0" xfId="0" applyFont="1" applyAlignment="1">
      <alignment vertical="top"/>
    </xf>
    <xf numFmtId="0" fontId="0" fillId="0" borderId="0" xfId="0" applyAlignment="1">
      <alignment horizontal="right" vertical="top"/>
    </xf>
    <xf numFmtId="0" fontId="12" fillId="0" borderId="0" xfId="0" applyNumberFormat="1" applyFont="1" applyAlignment="1">
      <alignment vertical="top"/>
    </xf>
  </cellXfs>
  <cellStyles count="1">
    <cellStyle name="Обычный" xfId="0" builtinId="0"/>
  </cellStyles>
  <dxfs count="99"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numFmt numFmtId="0" formatCode="General"/>
      <alignment vertical="top" textRotation="0" wrapText="0" indent="0" justifyLastLine="0" shrinkToFit="0" readingOrder="0"/>
    </dxf>
    <dxf>
      <numFmt numFmtId="0" formatCode="General"/>
      <alignment horizontal="general" vertical="top" textRotation="0" indent="0" justifyLastLine="0" shrinkToFit="0" readingOrder="0"/>
    </dxf>
    <dxf>
      <numFmt numFmtId="0" formatCode="General"/>
      <alignment vertical="top" textRotation="0" wrapText="0" indent="0" justifyLastLine="0" shrinkToFit="0" readingOrder="0"/>
    </dxf>
    <dxf>
      <numFmt numFmtId="0" formatCode="General"/>
      <alignment vertical="top" textRotation="0" wrapText="0" indent="0" justifyLastLine="0" shrinkToFit="0" readingOrder="0"/>
    </dxf>
    <dxf>
      <numFmt numFmtId="0" formatCode="General"/>
      <alignment vertical="top" textRotation="0" wrapText="0" indent="0" justifyLastLine="0" shrinkToFit="0" readingOrder="0"/>
    </dxf>
    <dxf>
      <numFmt numFmtId="0" formatCode="General"/>
      <alignment vertical="top" textRotation="0" wrapText="0" indent="0" justifyLastLine="0" shrinkToFit="0" readingOrder="0"/>
    </dxf>
    <dxf>
      <numFmt numFmtId="0" formatCode="General"/>
      <alignment vertical="top" textRotation="0" wrapText="0" indent="0" justifyLastLine="0" shrinkToFit="0" readingOrder="0"/>
    </dxf>
    <dxf>
      <numFmt numFmtId="0" formatCode="General"/>
      <alignment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numFmt numFmtId="0" formatCode="General"/>
      <alignment vertical="top" textRotation="0" wrapText="0" indent="0" justifyLastLine="0" shrinkToFit="0" readingOrder="0"/>
    </dxf>
    <dxf>
      <alignment vertical="top" textRotation="0" wrapText="0" indent="0" justifyLastLine="0" shrinkToFit="0" readingOrder="0"/>
    </dxf>
    <dxf>
      <alignment vertical="top" textRotation="0" wrapText="0" indent="0" justifyLastLine="0" shrinkToFit="0" readingOrder="0"/>
    </dxf>
    <dxf>
      <alignment vertical="top" textRotation="0" wrapText="0" indent="0" justifyLastLine="0" shrinkToFit="0" readingOrder="0"/>
    </dxf>
    <dxf>
      <alignment vertical="top" textRotation="0" wrapText="0" indent="0" justifyLastLine="0" shrinkToFit="0" readingOrder="0"/>
    </dxf>
    <dxf>
      <numFmt numFmtId="0" formatCode="General"/>
      <alignment vertical="top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vertical="top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vertical="top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vertical="top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vertical="top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vertical="top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vertical="top" textRotation="0" wrapText="0" indent="0" justifyLastLine="0" shrinkToFit="0" readingOrder="0"/>
    </dxf>
    <dxf>
      <alignment vertical="top" textRotation="0" wrapText="0" indent="0" justifyLastLine="0" shrinkToFit="0" readingOrder="0"/>
    </dxf>
    <dxf>
      <alignment vertical="top" textRotation="0" wrapText="0" indent="0" justifyLastLine="0" shrinkToFit="0" readingOrder="0"/>
    </dxf>
    <dxf>
      <alignment vertical="top" textRotation="0" wrapText="0" indent="0" justifyLastLine="0" shrinkToFit="0" readingOrder="0"/>
    </dxf>
    <dxf>
      <alignment vertical="top" textRotation="0" wrapText="0" indent="0" justifyLastLine="0" shrinkToFit="0" readingOrder="0"/>
    </dxf>
    <dxf>
      <alignment vertical="top" textRotation="0" wrapText="0" indent="0" justifyLastLine="0" shrinkToFit="0" readingOrder="0"/>
    </dxf>
    <dxf>
      <alignment vertical="top" textRotation="0" wrapText="0" indent="0" justifyLastLine="0" shrinkToFit="0" readingOrder="0"/>
    </dxf>
    <dxf>
      <numFmt numFmtId="13" formatCode="0%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5" tint="0.39997558519241921"/>
        </patternFill>
      </fill>
    </dxf>
    <dxf>
      <fill>
        <patternFill>
          <bgColor theme="5" tint="0.39997558519241921"/>
        </patternFill>
      </fill>
    </dxf>
    <dxf>
      <fill>
        <patternFill>
          <bgColor theme="5" tint="0.39997558519241921"/>
        </patternFill>
      </fill>
    </dxf>
    <dxf>
      <fill>
        <patternFill>
          <bgColor theme="5" tint="0.39997558519241921"/>
        </patternFill>
      </fill>
    </dxf>
    <dxf>
      <fill>
        <patternFill>
          <bgColor theme="5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border diagonalUp="0" diagonalDown="0" outline="0">
        <left/>
        <right/>
        <top style="thin">
          <color indexed="64"/>
        </top>
        <bottom/>
      </border>
    </dxf>
    <dxf>
      <numFmt numFmtId="0" formatCode="General"/>
    </dxf>
    <dxf>
      <border diagonalUp="0" diagonalDown="0" outline="0">
        <left/>
        <right/>
        <top style="thin">
          <color indexed="64"/>
        </top>
        <bottom/>
      </border>
    </dxf>
    <dxf>
      <border diagonalUp="0" diagonalDown="0" outline="0">
        <left/>
        <right/>
        <top style="thin">
          <color indexed="64"/>
        </top>
        <bottom/>
      </border>
    </dxf>
    <dxf>
      <border diagonalUp="0" diagonalDown="0" outline="0">
        <left/>
        <right/>
        <top style="thin">
          <color indexed="64"/>
        </top>
        <bottom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powerPivotData" Target="model/item.data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sharedStrings" Target="sharedString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000.011538773149" backgroundQuery="1" createdVersion="8" refreshedVersion="8" minRefreshableVersion="3" recordCount="0" supportSubquery="1" supportAdvancedDrill="1" xr:uid="{00000000-000A-0000-FFFF-FFFF25000000}">
  <cacheSource type="external" connectionId="1"/>
  <cacheFields count="2">
    <cacheField name="[Список].[Имя].[Имя]" caption="Имя" numFmtId="0" hierarchy="2" level="1">
      <sharedItems count="21">
        <s v="Александр"/>
        <s v="Анастасия"/>
        <s v="Андрей"/>
        <s v="Анна"/>
        <s v="Арсений"/>
        <s v="Артём"/>
        <s v="Богдан"/>
        <s v="Варвара"/>
        <s v="Вероника"/>
        <s v="Виктория"/>
        <s v="Даниил"/>
        <s v="Данил"/>
        <s v="Диера"/>
        <s v="Дмитрий"/>
        <s v="Елизавета"/>
        <s v="Иван"/>
        <s v="Кирена"/>
        <s v="Лев"/>
        <s v="Мария"/>
        <s v="Полина"/>
        <s v="Софья"/>
      </sharedItems>
    </cacheField>
    <cacheField name="[Measures].[Число элементов в столбце Имя]" caption="Число элементов в столбце Имя" numFmtId="0" hierarchy="22" level="32767"/>
  </cacheFields>
  <cacheHierarchies count="25">
    <cacheHierarchy uniqueName="[Список].[№]" caption="№" attribute="1" defaultMemberUniqueName="[Список].[№].[All]" allUniqueName="[Список].[№].[All]" dimensionUniqueName="[Список]" displayFolder="" count="0" memberValueDatatype="20" unbalanced="0"/>
    <cacheHierarchy uniqueName="[Список].[Фамилия, имя]" caption="Фамилия, имя" attribute="1" defaultMemberUniqueName="[Список].[Фамилия, имя].[All]" allUniqueName="[Список].[Фамилия, имя].[All]" dimensionUniqueName="[Список]" displayFolder="" count="0" memberValueDatatype="130" unbalanced="0"/>
    <cacheHierarchy uniqueName="[Список].[Имя]" caption="Имя" attribute="1" defaultMemberUniqueName="[Список].[Имя].[All]" allUniqueName="[Список].[Имя].[All]" dimensionUniqueName="[Список]" displayFolder="" count="2" memberValueDatatype="130" unbalanced="0">
      <fieldsUsage count="2">
        <fieldUsage x="-1"/>
        <fieldUsage x="0"/>
      </fieldsUsage>
    </cacheHierarchy>
    <cacheHierarchy uniqueName="[Список].[Пол]" caption="Пол" attribute="1" defaultMemberUniqueName="[Список].[Пол].[All]" allUniqueName="[Список].[Пол].[All]" dimensionUniqueName="[Список]" displayFolder="" count="0" memberValueDatatype="130" unbalanced="0"/>
    <cacheHierarchy uniqueName="[Список].[Вар. ЛР]" caption="Вар. ЛР" attribute="1" defaultMemberUniqueName="[Список].[Вар. ЛР].[All]" allUniqueName="[Список].[Вар. ЛР].[All]" dimensionUniqueName="[Список]" displayFolder="" count="0" memberValueDatatype="130" unbalanced="0"/>
    <cacheHierarchy uniqueName="[Список].[08.сен]" caption="08.сен" attribute="1" defaultMemberUniqueName="[Список].[08.сен].[All]" allUniqueName="[Список].[08.сен].[All]" dimensionUniqueName="[Список]" displayFolder="" count="0" memberValueDatatype="130" unbalanced="0"/>
    <cacheHierarchy uniqueName="[Список].[22.сен]" caption="22.сен" attribute="1" defaultMemberUniqueName="[Список].[22.сен].[All]" allUniqueName="[Список].[22.сен].[All]" dimensionUniqueName="[Список]" displayFolder="" count="0" memberValueDatatype="130" unbalanced="0"/>
    <cacheHierarchy uniqueName="[Список].[06.окт]" caption="06.окт" attribute="1" defaultMemberUniqueName="[Список].[06.окт].[All]" allUniqueName="[Список].[06.окт].[All]" dimensionUniqueName="[Список]" displayFolder="" count="0" memberValueDatatype="130" unbalanced="0"/>
    <cacheHierarchy uniqueName="[Список].[20.окт]" caption="20.окт" attribute="1" defaultMemberUniqueName="[Список].[20.окт].[All]" allUniqueName="[Список].[20.окт].[All]" dimensionUniqueName="[Список]" displayFolder="" count="0" memberValueDatatype="130" unbalanced="0"/>
    <cacheHierarchy uniqueName="[Список].[17.ноя]" caption="17.ноя" attribute="1" defaultMemberUniqueName="[Список].[17.ноя].[All]" allUniqueName="[Список].[17.ноя].[All]" dimensionUniqueName="[Список]" displayFolder="" count="0" memberValueDatatype="130" unbalanced="0"/>
    <cacheHierarchy uniqueName="[Список].[01.дек]" caption="01.дек" attribute="1" defaultMemberUniqueName="[Список].[01.дек].[All]" allUniqueName="[Список].[01.дек].[All]" dimensionUniqueName="[Список]" displayFolder="" count="0" memberValueDatatype="130" unbalanced="0"/>
    <cacheHierarchy uniqueName="[Список].[15.дек]" caption="15.дек" attribute="1" defaultMemberUniqueName="[Список].[15.дек].[All]" allUniqueName="[Список].[15.дек].[All]" dimensionUniqueName="[Список]" displayFolder="" count="0" memberValueDatatype="130" unbalanced="0"/>
    <cacheHierarchy uniqueName="[Список].[22.дек]" caption="22.дек" attribute="1" defaultMemberUniqueName="[Список].[22.дек].[All]" allUniqueName="[Список].[22.дек].[All]" dimensionUniqueName="[Список]" displayFolder="" count="0" memberValueDatatype="130" unbalanced="0"/>
    <cacheHierarchy uniqueName="[Список].[Встреч]" caption="Встреч" attribute="1" defaultMemberUniqueName="[Список].[Встреч].[All]" allUniqueName="[Список].[Встреч].[All]" dimensionUniqueName="[Список]" displayFolder="" count="0" memberValueDatatype="20" unbalanced="0"/>
    <cacheHierarchy uniqueName="[Список].[27.окт]" caption="27.окт" attribute="1" defaultMemberUniqueName="[Список].[27.окт].[All]" allUniqueName="[Список].[27.окт].[All]" dimensionUniqueName="[Список]" displayFolder="" count="0" memberValueDatatype="20" unbalanced="0"/>
    <cacheHierarchy uniqueName="[Список].[Баллы1]" caption="Баллы1" attribute="1" defaultMemberUniqueName="[Список].[Баллы1].[All]" allUniqueName="[Список].[Баллы1].[All]" dimensionUniqueName="[Список]" displayFolder="" count="0" memberValueDatatype="20" unbalanced="0"/>
    <cacheHierarchy uniqueName="[Список].[Баллы2]" caption="Баллы2" attribute="1" defaultMemberUniqueName="[Список].[Баллы2].[All]" allUniqueName="[Список].[Баллы2].[All]" dimensionUniqueName="[Список]" displayFolder="" count="0" memberValueDatatype="20" unbalanced="0"/>
    <cacheHierarchy uniqueName="[Список].[ДЗ]" caption="ДЗ" attribute="1" defaultMemberUniqueName="[Список].[ДЗ].[All]" allUniqueName="[Список].[ДЗ].[All]" dimensionUniqueName="[Список]" displayFolder="" count="0" memberValueDatatype="20" unbalanced="0"/>
    <cacheHierarchy uniqueName="[Таблица3].[Имя]" caption="Имя" attribute="1" defaultMemberUniqueName="[Таблица3].[Имя].[All]" allUniqueName="[Таблица3].[Имя].[All]" dimensionUniqueName="[Таблица3]" displayFolder="" count="0" memberValueDatatype="130" unbalanced="0"/>
    <cacheHierarchy uniqueName="[Measures].[__XL_Count Список]" caption="__XL_Count Список" measure="1" displayFolder="" measureGroup="Список" count="0" hidden="1"/>
    <cacheHierarchy uniqueName="[Measures].[__XL_Count Таблица3]" caption="__XL_Count Таблица3" measure="1" displayFolder="" measureGroup="Таблица3" count="0" hidden="1"/>
    <cacheHierarchy uniqueName="[Measures].[__No measures defined]" caption="__No measures defined" measure="1" displayFolder="" count="0" hidden="1"/>
    <cacheHierarchy uniqueName="[Measures].[Число элементов в столбце Имя]" caption="Число элементов в столбце Имя" measure="1" displayFolder="" measureGroup="Список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Число элементов в столбце Пол]" caption="Число элементов в столбце Пол" measure="1" displayFolder="" measureGroup="Список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Число элементов в столбце Имя 2]" caption="Число элементов в столбце Имя 2" measure="1" displayFolder="" measureGroup="Таблица3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</cacheHierarchies>
  <kpis count="0"/>
  <dimensions count="3">
    <dimension measure="1" name="Measures" uniqueName="[Measures]" caption="Measures"/>
    <dimension name="Список" uniqueName="[Список]" caption="Список"/>
    <dimension name="Таблица3" uniqueName="[Таблица3]" caption="Таблица3"/>
  </dimensions>
  <measureGroups count="2">
    <measureGroup name="Список" caption="Список"/>
    <measureGroup name="Таблица3" caption="Таблица3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000.011540046296" backgroundQuery="1" createdVersion="8" refreshedVersion="8" minRefreshableVersion="3" recordCount="0" supportSubquery="1" supportAdvancedDrill="1" xr:uid="{00000000-000A-0000-FFFF-FFFF28000000}">
  <cacheSource type="external" connectionId="1"/>
  <cacheFields count="2">
    <cacheField name="[Список].[Пол].[Пол]" caption="Пол" numFmtId="0" hierarchy="3" level="1">
      <sharedItems count="2">
        <s v="ж"/>
        <s v="м"/>
      </sharedItems>
    </cacheField>
    <cacheField name="[Measures].[Число элементов в столбце Пол]" caption="Число элементов в столбце Пол" numFmtId="0" hierarchy="23" level="32767"/>
  </cacheFields>
  <cacheHierarchies count="25">
    <cacheHierarchy uniqueName="[Список].[№]" caption="№" attribute="1" defaultMemberUniqueName="[Список].[№].[All]" allUniqueName="[Список].[№].[All]" dimensionUniqueName="[Список]" displayFolder="" count="0" memberValueDatatype="20" unbalanced="0"/>
    <cacheHierarchy uniqueName="[Список].[Фамилия, имя]" caption="Фамилия, имя" attribute="1" defaultMemberUniqueName="[Список].[Фамилия, имя].[All]" allUniqueName="[Список].[Фамилия, имя].[All]" dimensionUniqueName="[Список]" displayFolder="" count="0" memberValueDatatype="130" unbalanced="0"/>
    <cacheHierarchy uniqueName="[Список].[Имя]" caption="Имя" attribute="1" defaultMemberUniqueName="[Список].[Имя].[All]" allUniqueName="[Список].[Имя].[All]" dimensionUniqueName="[Список]" displayFolder="" count="0" memberValueDatatype="130" unbalanced="0"/>
    <cacheHierarchy uniqueName="[Список].[Пол]" caption="Пол" attribute="1" defaultMemberUniqueName="[Список].[Пол].[All]" allUniqueName="[Список].[Пол].[All]" dimensionUniqueName="[Список]" displayFolder="" count="2" memberValueDatatype="130" unbalanced="0">
      <fieldsUsage count="2">
        <fieldUsage x="-1"/>
        <fieldUsage x="0"/>
      </fieldsUsage>
    </cacheHierarchy>
    <cacheHierarchy uniqueName="[Список].[Вар. ЛР]" caption="Вар. ЛР" attribute="1" defaultMemberUniqueName="[Список].[Вар. ЛР].[All]" allUniqueName="[Список].[Вар. ЛР].[All]" dimensionUniqueName="[Список]" displayFolder="" count="0" memberValueDatatype="130" unbalanced="0"/>
    <cacheHierarchy uniqueName="[Список].[08.сен]" caption="08.сен" attribute="1" defaultMemberUniqueName="[Список].[08.сен].[All]" allUniqueName="[Список].[08.сен].[All]" dimensionUniqueName="[Список]" displayFolder="" count="0" memberValueDatatype="130" unbalanced="0"/>
    <cacheHierarchy uniqueName="[Список].[22.сен]" caption="22.сен" attribute="1" defaultMemberUniqueName="[Список].[22.сен].[All]" allUniqueName="[Список].[22.сен].[All]" dimensionUniqueName="[Список]" displayFolder="" count="0" memberValueDatatype="130" unbalanced="0"/>
    <cacheHierarchy uniqueName="[Список].[06.окт]" caption="06.окт" attribute="1" defaultMemberUniqueName="[Список].[06.окт].[All]" allUniqueName="[Список].[06.окт].[All]" dimensionUniqueName="[Список]" displayFolder="" count="0" memberValueDatatype="130" unbalanced="0"/>
    <cacheHierarchy uniqueName="[Список].[20.окт]" caption="20.окт" attribute="1" defaultMemberUniqueName="[Список].[20.окт].[All]" allUniqueName="[Список].[20.окт].[All]" dimensionUniqueName="[Список]" displayFolder="" count="0" memberValueDatatype="130" unbalanced="0"/>
    <cacheHierarchy uniqueName="[Список].[17.ноя]" caption="17.ноя" attribute="1" defaultMemberUniqueName="[Список].[17.ноя].[All]" allUniqueName="[Список].[17.ноя].[All]" dimensionUniqueName="[Список]" displayFolder="" count="0" memberValueDatatype="130" unbalanced="0"/>
    <cacheHierarchy uniqueName="[Список].[01.дек]" caption="01.дек" attribute="1" defaultMemberUniqueName="[Список].[01.дек].[All]" allUniqueName="[Список].[01.дек].[All]" dimensionUniqueName="[Список]" displayFolder="" count="0" memberValueDatatype="130" unbalanced="0"/>
    <cacheHierarchy uniqueName="[Список].[15.дек]" caption="15.дек" attribute="1" defaultMemberUniqueName="[Список].[15.дек].[All]" allUniqueName="[Список].[15.дек].[All]" dimensionUniqueName="[Список]" displayFolder="" count="0" memberValueDatatype="130" unbalanced="0"/>
    <cacheHierarchy uniqueName="[Список].[22.дек]" caption="22.дек" attribute="1" defaultMemberUniqueName="[Список].[22.дек].[All]" allUniqueName="[Список].[22.дек].[All]" dimensionUniqueName="[Список]" displayFolder="" count="0" memberValueDatatype="130" unbalanced="0"/>
    <cacheHierarchy uniqueName="[Список].[Встреч]" caption="Встреч" attribute="1" defaultMemberUniqueName="[Список].[Встреч].[All]" allUniqueName="[Список].[Встреч].[All]" dimensionUniqueName="[Список]" displayFolder="" count="0" memberValueDatatype="20" unbalanced="0"/>
    <cacheHierarchy uniqueName="[Список].[27.окт]" caption="27.окт" attribute="1" defaultMemberUniqueName="[Список].[27.окт].[All]" allUniqueName="[Список].[27.окт].[All]" dimensionUniqueName="[Список]" displayFolder="" count="0" memberValueDatatype="20" unbalanced="0"/>
    <cacheHierarchy uniqueName="[Список].[Баллы1]" caption="Баллы1" attribute="1" defaultMemberUniqueName="[Список].[Баллы1].[All]" allUniqueName="[Список].[Баллы1].[All]" dimensionUniqueName="[Список]" displayFolder="" count="0" memberValueDatatype="20" unbalanced="0"/>
    <cacheHierarchy uniqueName="[Список].[Баллы2]" caption="Баллы2" attribute="1" defaultMemberUniqueName="[Список].[Баллы2].[All]" allUniqueName="[Список].[Баллы2].[All]" dimensionUniqueName="[Список]" displayFolder="" count="0" memberValueDatatype="20" unbalanced="0"/>
    <cacheHierarchy uniqueName="[Список].[ДЗ]" caption="ДЗ" attribute="1" defaultMemberUniqueName="[Список].[ДЗ].[All]" allUniqueName="[Список].[ДЗ].[All]" dimensionUniqueName="[Список]" displayFolder="" count="0" memberValueDatatype="20" unbalanced="0"/>
    <cacheHierarchy uniqueName="[Таблица3].[Имя]" caption="Имя" attribute="1" defaultMemberUniqueName="[Таблица3].[Имя].[All]" allUniqueName="[Таблица3].[Имя].[All]" dimensionUniqueName="[Таблица3]" displayFolder="" count="0" memberValueDatatype="130" unbalanced="0"/>
    <cacheHierarchy uniqueName="[Measures].[__XL_Count Список]" caption="__XL_Count Список" measure="1" displayFolder="" measureGroup="Список" count="0" hidden="1"/>
    <cacheHierarchy uniqueName="[Measures].[__XL_Count Таблица3]" caption="__XL_Count Таблица3" measure="1" displayFolder="" measureGroup="Таблица3" count="0" hidden="1"/>
    <cacheHierarchy uniqueName="[Measures].[__No measures defined]" caption="__No measures defined" measure="1" displayFolder="" count="0" hidden="1"/>
    <cacheHierarchy uniqueName="[Measures].[Число элементов в столбце Имя]" caption="Число элементов в столбце Имя" measure="1" displayFolder="" measureGroup="Список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Число элементов в столбце Пол]" caption="Число элементов в столбце Пол" measure="1" displayFolder="" measureGroup="Список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Число элементов в столбце Имя 2]" caption="Число элементов в столбце Имя 2" measure="1" displayFolder="" measureGroup="Таблица3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</cacheHierarchies>
  <kpis count="0"/>
  <dimensions count="3">
    <dimension measure="1" name="Measures" uniqueName="[Measures]" caption="Measures"/>
    <dimension name="Список" uniqueName="[Список]" caption="Список"/>
    <dimension name="Таблица3" uniqueName="[Таблица3]" caption="Таблица3"/>
  </dimensions>
  <measureGroups count="2">
    <measureGroup name="Список" caption="Список"/>
    <measureGroup name="Таблица3" caption="Таблица3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277.505178703701" backgroundQuery="1" createdVersion="8" refreshedVersion="8" minRefreshableVersion="3" recordCount="0" supportSubquery="1" supportAdvancedDrill="1" xr:uid="{E7832EB9-13F6-47AE-B734-633F0B62F950}">
  <cacheSource type="external" connectionId="1"/>
  <cacheFields count="2">
    <cacheField name="[Таблица3].[Имя].[Имя]" caption="Имя" numFmtId="0" hierarchy="18" level="1">
      <sharedItems count="16">
        <s v="Александра"/>
        <s v="Алиса"/>
        <s v="Анастасия"/>
        <s v="Валерия"/>
        <s v="Варвара"/>
        <s v="Василиса"/>
        <s v="Вероника"/>
        <s v="Дарья"/>
        <s v="Екатерина"/>
        <s v="Елена"/>
        <s v="Кристина"/>
        <s v="Ксения"/>
        <s v="Мария"/>
        <s v="Номина"/>
        <s v="Тамильяна"/>
        <s v="Юлия"/>
      </sharedItems>
    </cacheField>
    <cacheField name="[Measures].[Число элементов в столбце Имя 2]" caption="Число элементов в столбце Имя 2" numFmtId="0" hierarchy="24" level="32767"/>
  </cacheFields>
  <cacheHierarchies count="25">
    <cacheHierarchy uniqueName="[Список].[№]" caption="№" attribute="1" defaultMemberUniqueName="[Список].[№].[All]" allUniqueName="[Список].[№].[All]" dimensionUniqueName="[Список]" displayFolder="" count="0" memberValueDatatype="20" unbalanced="0"/>
    <cacheHierarchy uniqueName="[Список].[Фамилия, имя]" caption="Фамилия, имя" attribute="1" defaultMemberUniqueName="[Список].[Фамилия, имя].[All]" allUniqueName="[Список].[Фамилия, имя].[All]" dimensionUniqueName="[Список]" displayFolder="" count="0" memberValueDatatype="130" unbalanced="0"/>
    <cacheHierarchy uniqueName="[Список].[Имя]" caption="Имя" attribute="1" defaultMemberUniqueName="[Список].[Имя].[All]" allUniqueName="[Список].[Имя].[All]" dimensionUniqueName="[Список]" displayFolder="" count="0" memberValueDatatype="130" unbalanced="0"/>
    <cacheHierarchy uniqueName="[Список].[Пол]" caption="Пол" attribute="1" defaultMemberUniqueName="[Список].[Пол].[All]" allUniqueName="[Список].[Пол].[All]" dimensionUniqueName="[Список]" displayFolder="" count="0" memberValueDatatype="130" unbalanced="0"/>
    <cacheHierarchy uniqueName="[Список].[Вар. ЛР]" caption="Вар. ЛР" attribute="1" defaultMemberUniqueName="[Список].[Вар. ЛР].[All]" allUniqueName="[Список].[Вар. ЛР].[All]" dimensionUniqueName="[Список]" displayFolder="" count="0" memberValueDatatype="130" unbalanced="0"/>
    <cacheHierarchy uniqueName="[Список].[08.сен]" caption="08.сен" attribute="1" defaultMemberUniqueName="[Список].[08.сен].[All]" allUniqueName="[Список].[08.сен].[All]" dimensionUniqueName="[Список]" displayFolder="" count="0" memberValueDatatype="130" unbalanced="0"/>
    <cacheHierarchy uniqueName="[Список].[22.сен]" caption="22.сен" attribute="1" defaultMemberUniqueName="[Список].[22.сен].[All]" allUniqueName="[Список].[22.сен].[All]" dimensionUniqueName="[Список]" displayFolder="" count="0" memberValueDatatype="130" unbalanced="0"/>
    <cacheHierarchy uniqueName="[Список].[06.окт]" caption="06.окт" attribute="1" defaultMemberUniqueName="[Список].[06.окт].[All]" allUniqueName="[Список].[06.окт].[All]" dimensionUniqueName="[Список]" displayFolder="" count="0" memberValueDatatype="130" unbalanced="0"/>
    <cacheHierarchy uniqueName="[Список].[20.окт]" caption="20.окт" attribute="1" defaultMemberUniqueName="[Список].[20.окт].[All]" allUniqueName="[Список].[20.окт].[All]" dimensionUniqueName="[Список]" displayFolder="" count="0" memberValueDatatype="130" unbalanced="0"/>
    <cacheHierarchy uniqueName="[Список].[17.ноя]" caption="17.ноя" attribute="1" defaultMemberUniqueName="[Список].[17.ноя].[All]" allUniqueName="[Список].[17.ноя].[All]" dimensionUniqueName="[Список]" displayFolder="" count="0" memberValueDatatype="130" unbalanced="0"/>
    <cacheHierarchy uniqueName="[Список].[01.дек]" caption="01.дек" attribute="1" defaultMemberUniqueName="[Список].[01.дек].[All]" allUniqueName="[Список].[01.дек].[All]" dimensionUniqueName="[Список]" displayFolder="" count="0" memberValueDatatype="130" unbalanced="0"/>
    <cacheHierarchy uniqueName="[Список].[15.дек]" caption="15.дек" attribute="1" defaultMemberUniqueName="[Список].[15.дек].[All]" allUniqueName="[Список].[15.дек].[All]" dimensionUniqueName="[Список]" displayFolder="" count="0" memberValueDatatype="130" unbalanced="0"/>
    <cacheHierarchy uniqueName="[Список].[22.дек]" caption="22.дек" attribute="1" defaultMemberUniqueName="[Список].[22.дек].[All]" allUniqueName="[Список].[22.дек].[All]" dimensionUniqueName="[Список]" displayFolder="" count="0" memberValueDatatype="130" unbalanced="0"/>
    <cacheHierarchy uniqueName="[Список].[Встреч]" caption="Встреч" attribute="1" defaultMemberUniqueName="[Список].[Встреч].[All]" allUniqueName="[Список].[Встреч].[All]" dimensionUniqueName="[Список]" displayFolder="" count="0" memberValueDatatype="20" unbalanced="0"/>
    <cacheHierarchy uniqueName="[Список].[27.окт]" caption="27.окт" attribute="1" defaultMemberUniqueName="[Список].[27.окт].[All]" allUniqueName="[Список].[27.окт].[All]" dimensionUniqueName="[Список]" displayFolder="" count="0" memberValueDatatype="20" unbalanced="0"/>
    <cacheHierarchy uniqueName="[Список].[Баллы1]" caption="Баллы1" attribute="1" defaultMemberUniqueName="[Список].[Баллы1].[All]" allUniqueName="[Список].[Баллы1].[All]" dimensionUniqueName="[Список]" displayFolder="" count="0" memberValueDatatype="20" unbalanced="0"/>
    <cacheHierarchy uniqueName="[Список].[Баллы2]" caption="Баллы2" attribute="1" defaultMemberUniqueName="[Список].[Баллы2].[All]" allUniqueName="[Список].[Баллы2].[All]" dimensionUniqueName="[Список]" displayFolder="" count="0" memberValueDatatype="20" unbalanced="0"/>
    <cacheHierarchy uniqueName="[Список].[ДЗ]" caption="ДЗ" attribute="1" defaultMemberUniqueName="[Список].[ДЗ].[All]" allUniqueName="[Список].[ДЗ].[All]" dimensionUniqueName="[Список]" displayFolder="" count="0" memberValueDatatype="20" unbalanced="0"/>
    <cacheHierarchy uniqueName="[Таблица3].[Имя]" caption="Имя" attribute="1" defaultMemberUniqueName="[Таблица3].[Имя].[All]" allUniqueName="[Таблица3].[Имя].[All]" dimensionUniqueName="[Таблица3]" displayFolder="" count="2" memberValueDatatype="130" unbalanced="0">
      <fieldsUsage count="2">
        <fieldUsage x="-1"/>
        <fieldUsage x="0"/>
      </fieldsUsage>
    </cacheHierarchy>
    <cacheHierarchy uniqueName="[Measures].[__XL_Count Список]" caption="__XL_Count Список" measure="1" displayFolder="" measureGroup="Список" count="0" hidden="1"/>
    <cacheHierarchy uniqueName="[Measures].[__XL_Count Таблица3]" caption="__XL_Count Таблица3" measure="1" displayFolder="" measureGroup="Таблица3" count="0" hidden="1"/>
    <cacheHierarchy uniqueName="[Measures].[__No measures defined]" caption="__No measures defined" measure="1" displayFolder="" count="0" hidden="1"/>
    <cacheHierarchy uniqueName="[Measures].[Число элементов в столбце Имя]" caption="Число элементов в столбце Имя" measure="1" displayFolder="" measureGroup="Список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Число элементов в столбце Пол]" caption="Число элементов в столбце Пол" measure="1" displayFolder="" measureGroup="Список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Число элементов в столбце Имя 2]" caption="Число элементов в столбце Имя 2" measure="1" displayFolder="" measureGroup="Таблица3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</cacheHierarchies>
  <kpis count="0"/>
  <dimensions count="3">
    <dimension measure="1" name="Measures" uniqueName="[Measures]" caption="Measures"/>
    <dimension name="Список" uniqueName="[Список]" caption="Список"/>
    <dimension name="Таблица3" uniqueName="[Таблица3]" caption="Таблица3"/>
  </dimensions>
  <measureGroups count="2">
    <measureGroup name="Список" caption="Список"/>
    <measureGroup name="Таблица3" caption="Таблица3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064217-BB9F-49D0-AAFB-FF91CF8019D2}" name="Сводная таблица1" cacheId="2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A3:B20" firstHeaderRow="1" firstDataRow="1" firstDataCol="1"/>
  <pivotFields count="2">
    <pivotField axis="axisRow" allDrilled="1" subtotalTop="0" showAll="0" sortType="descending" defaultSubtotal="0" defaultAttributeDrillState="1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17">
    <i>
      <x v="7"/>
    </i>
    <i>
      <x v="2"/>
    </i>
    <i>
      <x v="12"/>
    </i>
    <i>
      <x v="6"/>
    </i>
    <i>
      <x v="11"/>
    </i>
    <i>
      <x v="9"/>
    </i>
    <i>
      <x v="4"/>
    </i>
    <i>
      <x v="5"/>
    </i>
    <i>
      <x v="10"/>
    </i>
    <i>
      <x v="13"/>
    </i>
    <i>
      <x v="3"/>
    </i>
    <i>
      <x v="14"/>
    </i>
    <i>
      <x v="1"/>
    </i>
    <i>
      <x v="15"/>
    </i>
    <i>
      <x/>
    </i>
    <i>
      <x v="8"/>
    </i>
    <i t="grand">
      <x/>
    </i>
  </rowItems>
  <colItems count="1">
    <i/>
  </colItems>
  <dataFields count="1">
    <dataField name="Число элементов в столбце Имя" fld="1" subtotal="count" baseField="0" baseItem="0"/>
  </dataFields>
  <pivotHierarchies count="2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Список-2026.xlsx!Таблица3">
        <x15:activeTabTopLevelEntity name="[Таблица3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3000000}" name="Сводная таблица1" cacheId="0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A3:B25" firstHeaderRow="1" firstDataRow="1" firstDataCol="1"/>
  <pivotFields count="2">
    <pivotField axis="axisRow" allDrilled="1" subtotalTop="0" showAll="0" sortType="descending" defaultSubtotal="0" defaultAttributeDrillState="1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22">
    <i>
      <x v="3"/>
    </i>
    <i>
      <x v="14"/>
    </i>
    <i>
      <x v="19"/>
    </i>
    <i>
      <x v="1"/>
    </i>
    <i>
      <x v="10"/>
    </i>
    <i>
      <x v="20"/>
    </i>
    <i>
      <x v="16"/>
    </i>
    <i>
      <x v="2"/>
    </i>
    <i>
      <x v="6"/>
    </i>
    <i>
      <x v="18"/>
    </i>
    <i>
      <x v="7"/>
    </i>
    <i>
      <x v="13"/>
    </i>
    <i>
      <x v="8"/>
    </i>
    <i>
      <x v="15"/>
    </i>
    <i>
      <x v="9"/>
    </i>
    <i>
      <x v="17"/>
    </i>
    <i>
      <x/>
    </i>
    <i>
      <x v="4"/>
    </i>
    <i>
      <x v="11"/>
    </i>
    <i>
      <x v="5"/>
    </i>
    <i>
      <x v="12"/>
    </i>
    <i t="grand">
      <x/>
    </i>
  </rowItems>
  <colItems count="1">
    <i/>
  </colItems>
  <dataFields count="1">
    <dataField name="Число элементов в столбце Имя" fld="1" subtotal="count" baseField="0" baseItem="0"/>
  </dataFields>
  <formats count="19">
    <format dxfId="86">
      <pivotArea dataOnly="0" labelOnly="1" fieldPosition="0">
        <references count="1">
          <reference field="0" count="1">
            <x v="16"/>
          </reference>
        </references>
      </pivotArea>
    </format>
    <format dxfId="85">
      <pivotArea dataOnly="0" labelOnly="1" fieldPosition="0">
        <references count="1">
          <reference field="0" count="1">
            <x v="6"/>
          </reference>
        </references>
      </pivotArea>
    </format>
    <format dxfId="84">
      <pivotArea dataOnly="0" labelOnly="1" fieldPosition="0">
        <references count="1">
          <reference field="0" count="1">
            <x v="4"/>
          </reference>
        </references>
      </pivotArea>
    </format>
    <format dxfId="83">
      <pivotArea dataOnly="0" labelOnly="1" fieldPosition="0">
        <references count="1">
          <reference field="0" count="1">
            <x v="12"/>
          </reference>
        </references>
      </pivotArea>
    </format>
    <format dxfId="82">
      <pivotArea dataOnly="0" labelOnly="1" fieldPosition="0">
        <references count="1">
          <reference field="0" count="1">
            <x v="3"/>
          </reference>
        </references>
      </pivotArea>
    </format>
    <format dxfId="81">
      <pivotArea dataOnly="0" labelOnly="1" fieldPosition="0">
        <references count="1">
          <reference field="0" count="1">
            <x v="20"/>
          </reference>
        </references>
      </pivotArea>
    </format>
    <format dxfId="80">
      <pivotArea dataOnly="0" labelOnly="1" fieldPosition="0">
        <references count="1">
          <reference field="0" count="1">
            <x v="18"/>
          </reference>
        </references>
      </pivotArea>
    </format>
    <format dxfId="79">
      <pivotArea dataOnly="0" labelOnly="1" fieldPosition="0">
        <references count="1">
          <reference field="0" count="1">
            <x v="9"/>
          </reference>
        </references>
      </pivotArea>
    </format>
    <format dxfId="78">
      <pivotArea dataOnly="0" labelOnly="1" fieldPosition="0">
        <references count="1">
          <reference field="0" count="1">
            <x v="0"/>
          </reference>
        </references>
      </pivotArea>
    </format>
    <format dxfId="77">
      <pivotArea dataOnly="0" labelOnly="1" fieldPosition="0">
        <references count="1">
          <reference field="0" count="1">
            <x v="5"/>
          </reference>
        </references>
      </pivotArea>
    </format>
    <format dxfId="76">
      <pivotArea dataOnly="0" labelOnly="1" fieldPosition="0">
        <references count="1">
          <reference field="0" count="1">
            <x v="16"/>
          </reference>
        </references>
      </pivotArea>
    </format>
    <format dxfId="75">
      <pivotArea dataOnly="0" labelOnly="1" fieldPosition="0">
        <references count="1">
          <reference field="0" count="1">
            <x v="6"/>
          </reference>
        </references>
      </pivotArea>
    </format>
    <format dxfId="74">
      <pivotArea dataOnly="0" labelOnly="1" fieldPosition="0">
        <references count="1">
          <reference field="0" count="1">
            <x v="4"/>
          </reference>
        </references>
      </pivotArea>
    </format>
    <format dxfId="73">
      <pivotArea dataOnly="0" labelOnly="1" fieldPosition="0">
        <references count="1">
          <reference field="0" count="1">
            <x v="12"/>
          </reference>
        </references>
      </pivotArea>
    </format>
    <format dxfId="72">
      <pivotArea dataOnly="0" labelOnly="1" fieldPosition="0">
        <references count="1">
          <reference field="0" count="1">
            <x v="11"/>
          </reference>
        </references>
      </pivotArea>
    </format>
    <format dxfId="71">
      <pivotArea dataOnly="0" labelOnly="1" fieldPosition="0">
        <references count="1">
          <reference field="0" count="4">
            <x v="1"/>
            <x v="10"/>
            <x v="14"/>
            <x v="19"/>
          </reference>
        </references>
      </pivotArea>
    </format>
    <format dxfId="70">
      <pivotArea dataOnly="0" labelOnly="1" fieldPosition="0">
        <references count="1">
          <reference field="0" count="1">
            <x v="2"/>
          </reference>
        </references>
      </pivotArea>
    </format>
    <format dxfId="69">
      <pivotArea dataOnly="0" labelOnly="1" fieldPosition="0">
        <references count="1">
          <reference field="0" count="4">
            <x v="7"/>
            <x v="8"/>
            <x v="13"/>
            <x v="15"/>
          </reference>
        </references>
      </pivotArea>
    </format>
    <format dxfId="68">
      <pivotArea dataOnly="0" labelOnly="1" fieldPosition="0">
        <references count="1">
          <reference field="0" count="1">
            <x v="17"/>
          </reference>
        </references>
      </pivotArea>
    </format>
  </formats>
  <pivotHierarchies count="2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Книга1!Список">
        <x15:activeTabTopLevelEntity name="[Список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4000000}" name="Сводная таблица2" cacheId="1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B2:C5" firstHeaderRow="1" firstDataRow="1" firstDataCol="1"/>
  <pivotFields count="2"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Число элементов в столбце Пол" fld="1" subtotal="count" showDataAs="percentOfTotal" baseField="0" baseItem="0" numFmtId="9"/>
  </dataFields>
  <formats count="1">
    <format dxfId="67">
      <pivotArea outline="0" collapsedLevelsAreSubtotals="1" fieldPosition="0"/>
    </format>
  </formats>
  <pivotHierarchies count="2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Книга1!Список">
        <x15:activeTabTopLevelEntity name="[Список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B9CDCE8-376C-4F6F-A47F-34521FF715C6}" name="Список35" displayName="Список35" ref="B5:AI38" totalsRowCount="1">
  <autoFilter ref="B5:AI37" xr:uid="{00000000-0009-0000-0100-000001000000}"/>
  <sortState xmlns:xlrd2="http://schemas.microsoft.com/office/spreadsheetml/2017/richdata2" ref="B6:O33">
    <sortCondition ref="B5:B33"/>
  </sortState>
  <tableColumns count="34">
    <tableColumn id="1" xr3:uid="{958D3CE3-DF36-46CA-A124-B85A503DF7C3}" name="№" dataDxfId="66" totalsRowDxfId="32"/>
    <tableColumn id="2" xr3:uid="{21BE5498-42F8-44F6-BB8B-EA42F84ADC3E}" name="Фамилия, имя" dataDxfId="65" totalsRowDxfId="31"/>
    <tableColumn id="3" xr3:uid="{DE4AB761-E0AC-408E-B001-5121C7FBE889}" name="Имя" dataDxfId="64" totalsRowDxfId="30"/>
    <tableColumn id="4" xr3:uid="{DC6CA474-70D9-488B-A84F-0A21CA2B1190}" name="Пол" dataDxfId="63" totalsRowDxfId="29"/>
    <tableColumn id="9" xr3:uid="{44B84C7C-6809-441D-AB04-4156BF082B0A}" name="Вар. ЛР" dataDxfId="62" totalsRowDxfId="28"/>
    <tableColumn id="5" xr3:uid="{3F34C439-4AA8-4327-9748-46E64109AEF1}" name="02.сен" totalsRowFunction="custom" dataDxfId="61" totalsRowDxfId="27">
      <totalsRowFormula>COUNTA(Список35[02.сен])</totalsRowFormula>
    </tableColumn>
    <tableColumn id="6" xr3:uid="{C5EA210A-8AED-4F1D-9BB6-8141384A7ED4}" name="16.сен" totalsRowFunction="custom" dataDxfId="60" totalsRowDxfId="26">
      <totalsRowFormula>COUNTA(Список35[16.сен])</totalsRowFormula>
    </tableColumn>
    <tableColumn id="7" xr3:uid="{B21FDCDC-89AD-485A-9AF0-5136CCB9912C}" name="30.сен" totalsRowFunction="custom" dataDxfId="59" totalsRowDxfId="25">
      <totalsRowFormula>COUNTA(Список35[30.сен])</totalsRowFormula>
    </tableColumn>
    <tableColumn id="8" xr3:uid="{6A100862-1981-4533-ADAD-23BD1AF89D4D}" name="14.окт" totalsRowFunction="custom" dataDxfId="58" totalsRowDxfId="24">
      <totalsRowFormula>COUNTA(Список35[14.окт])</totalsRowFormula>
    </tableColumn>
    <tableColumn id="11" xr3:uid="{397ED156-1301-4756-90AB-0B6BC97BBE22}" name="28.окт" totalsRowFunction="custom" dataDxfId="57" totalsRowDxfId="23">
      <totalsRowFormula>COUNTA(Список35[28.окт])</totalsRowFormula>
    </tableColumn>
    <tableColumn id="12" xr3:uid="{AB088FA0-F829-4AA2-863D-7B259A11FB8E}" name="11.дек" totalsRowFunction="custom" dataDxfId="56" totalsRowDxfId="22">
      <totalsRowFormula>COUNTA(Список35[11.дек])</totalsRowFormula>
    </tableColumn>
    <tableColumn id="13" xr3:uid="{E36B2DC4-67DF-4F03-A9BE-619599C5F369}" name="25.дек" totalsRowFunction="custom" dataDxfId="55" totalsRowDxfId="21">
      <totalsRowFormula>COUNTA(Список35[25.дек])</totalsRowFormula>
    </tableColumn>
    <tableColumn id="15" xr3:uid="{3D8BEBA8-6BD8-4260-B67F-EAE9146366B5}" name="Лекции" dataDxfId="54" totalsRowDxfId="20">
      <calculatedColumnFormula>COUNTA(Список35[[#This Row],[02.сен]:[25.дек]])</calculatedColumnFormula>
    </tableColumn>
    <tableColumn id="16" xr3:uid="{0262A76C-5053-45D8-B41E-5F3EFE47382B}" name="РК1" totalsRowFunction="countNums" dataDxfId="53" totalsRowDxfId="19"/>
    <tableColumn id="10" xr3:uid="{E4C90AFA-E5CD-4B6A-A496-242129B2E994}" name="РК2" totalsRowFunction="countNums" dataDxfId="52" totalsRowDxfId="18"/>
    <tableColumn id="18" xr3:uid="{BA523250-0BB3-4727-BFD1-52C03A669A27}" name="РК3" totalsRowFunction="countNums" dataDxfId="51" totalsRowDxfId="17"/>
    <tableColumn id="17" xr3:uid="{3A6F8A31-E54A-4649-A700-ABD104EECE04}" name="ДЗ" totalsRowFunction="countNums" dataDxfId="50" totalsRowDxfId="16"/>
    <tableColumn id="19" xr3:uid="{6521CEE6-C7BE-4AB2-A139-E2CEEC1FAF30}" name="Теория" dataDxfId="49" totalsRowDxfId="15">
      <calculatedColumnFormula>Список35[[#This Row],[Лекции]]+Список35[[#This Row],[РК1]]+Список35[[#This Row],[РК2]]+Список35[[#This Row],[РК3]]+Список35[[#This Row],[ДЗ]]</calculatedColumnFormula>
    </tableColumn>
    <tableColumn id="20" xr3:uid="{8B821441-1EEC-4DF0-9D6A-5BDA72942403}" name="09.сен" totalsRowFunction="custom" dataDxfId="48" totalsRowDxfId="14">
      <totalsRowFormula>COUNTA(#REF!)</totalsRowFormula>
    </tableColumn>
    <tableColumn id="21" xr3:uid="{17B88E00-65F1-4457-BA22-E0FBEC945F7B}" name="23.сен" totalsRowFunction="custom" dataDxfId="47" totalsRowDxfId="13">
      <totalsRowFormula>COUNTA(#REF!)</totalsRowFormula>
    </tableColumn>
    <tableColumn id="22" xr3:uid="{0F5B0088-A5FE-4DC0-AD62-F378C41789BE}" name="07.окт" totalsRowFunction="custom" dataDxfId="46" totalsRowDxfId="12">
      <totalsRowFormula>COUNTA(#REF!)</totalsRowFormula>
    </tableColumn>
    <tableColumn id="23" xr3:uid="{E34AE642-6959-43C7-8C63-274E6455B1F0}" name="21.окт" totalsRowFunction="custom" dataDxfId="45" totalsRowDxfId="11">
      <totalsRowFormula>COUNTA(#REF!)</totalsRowFormula>
    </tableColumn>
    <tableColumn id="24" xr3:uid="{55352D33-2545-425C-BFBF-5FD7B604D215}" name="18.ноя" totalsRowFunction="custom" dataDxfId="44" totalsRowDxfId="10">
      <totalsRowFormula>COUNTA(#REF!)</totalsRowFormula>
    </tableColumn>
    <tableColumn id="25" xr3:uid="{A9F8128D-F247-4C47-B484-18878537FF22}" name="02.дек" totalsRowFunction="custom" dataDxfId="43" totalsRowDxfId="9">
      <totalsRowFormula>COUNTA(#REF!)</totalsRowFormula>
    </tableColumn>
    <tableColumn id="26" xr3:uid="{785C4B91-C255-4AA7-9765-AD03EAF94526}" name="16.дек" totalsRowFunction="custom" dataDxfId="42" totalsRowDxfId="8">
      <totalsRowFormula>COUNTA(#REF!)</totalsRowFormula>
    </tableColumn>
    <tableColumn id="27" xr3:uid="{03D2E624-EA46-4485-8D84-7DEA20D030F7}" name="30.дек" totalsRowFunction="custom" dataDxfId="41" totalsRowDxfId="7">
      <totalsRowFormula>COUNTA(#REF!)</totalsRowFormula>
    </tableColumn>
    <tableColumn id="28" xr3:uid="{A6F037A1-758D-47CE-B1D2-0B052CFF9CFD}" name="Лабы" dataDxfId="40" totalsRowDxfId="6">
      <calculatedColumnFormula>COUNTA(Список35[[#This Row],[09.сен]:[30.дек]])</calculatedColumnFormula>
    </tableColumn>
    <tableColumn id="29" xr3:uid="{D5EEC82C-5A0A-4AF5-8C0C-ED1AC79A97E2}" name="Отч1" totalsRowFunction="custom" dataDxfId="39" totalsRowDxfId="5">
      <calculatedColumnFormula>COUNTIF(Список35[[#This Row],[09.сен]:[30.дек]],1)*AC$3</calculatedColumnFormula>
      <totalsRowFormula>COUNTIF(Список35[Отч1],"&lt;&gt;0")</totalsRowFormula>
    </tableColumn>
    <tableColumn id="30" xr3:uid="{36593401-E942-41AF-9243-5AC2E5D2506E}" name="Отч2" totalsRowFunction="custom" dataDxfId="38" totalsRowDxfId="4">
      <calculatedColumnFormula>COUNTIF(Список35[[#This Row],[09.сен]:[30.дек]],2)*AD$3</calculatedColumnFormula>
      <totalsRowFormula>COUNTIF(Список35[Отч2],"&lt;&gt;0")</totalsRowFormula>
    </tableColumn>
    <tableColumn id="31" xr3:uid="{8BCA4CB0-E93C-4375-A81C-5F367566B6E7}" name="Отч3" totalsRowFunction="custom" dataDxfId="37" totalsRowDxfId="3">
      <calculatedColumnFormula>COUNTIF(Список35[[#This Row],[09.сен]:[30.дек]],3)*AE$3</calculatedColumnFormula>
      <totalsRowFormula>COUNTIF(Список35[Отч3],"&lt;&gt;0")</totalsRowFormula>
    </tableColumn>
    <tableColumn id="32" xr3:uid="{46CA83D2-E910-4A50-91EF-66C3A41C422D}" name="Отч4" totalsRowFunction="custom" dataDxfId="36" totalsRowDxfId="2">
      <calculatedColumnFormula>COUNTIF(Список35[[#This Row],[09.сен]:[30.дек]],4)*AF$3</calculatedColumnFormula>
      <totalsRowFormula>COUNTIF(Список35[Отч4],"&lt;&gt;0")</totalsRowFormula>
    </tableColumn>
    <tableColumn id="33" xr3:uid="{EF5FFCD7-60F6-4561-9914-D1C15E750F40}" name="Практика" dataDxfId="35" totalsRowDxfId="1">
      <calculatedColumnFormula>SUM(Список35[[#This Row],[Лабы]:[Отч4]])</calculatedColumnFormula>
    </tableColumn>
    <tableColumn id="34" xr3:uid="{CC9FBEAE-772D-4FB1-BC51-15A3B9362BEB}" name="Итог" totalsRowFunction="count" dataDxfId="33" totalsRowDxfId="0">
      <calculatedColumnFormula>Список35[[#This Row],[Теория]]+Список35[[#This Row],[Практика]]</calculatedColumnFormula>
    </tableColumn>
    <tableColumn id="14" xr3:uid="{B733589E-CC1B-4B28-A999-923AB100B27F}" name="Книги" totalsRowFunction="count" dataDxfId="34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4BBCFCF-F2D9-461C-A9CF-8B51B1D87C11}" name="Таблица3" displayName="Таблица3" ref="B2:B23" totalsRowShown="0" dataDxfId="98" tableBorderDxfId="97">
  <autoFilter ref="B2:B23" xr:uid="{74BBCFCF-F2D9-461C-A9CF-8B51B1D87C11}"/>
  <tableColumns count="1">
    <tableColumn id="1" xr3:uid="{548C7D26-047D-46D9-AA4C-BA337573E0C4}" name="Имя" dataDxfId="9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Список" displayName="Список" ref="B4:T32" totalsRowCount="1" totalsRowBorderDxfId="95">
  <autoFilter ref="B4:T31" xr:uid="{00000000-0009-0000-0100-000001000000}"/>
  <sortState xmlns:xlrd2="http://schemas.microsoft.com/office/spreadsheetml/2017/richdata2" ref="B5:P31">
    <sortCondition ref="B4:B31"/>
  </sortState>
  <tableColumns count="19">
    <tableColumn id="1" xr3:uid="{00000000-0010-0000-0000-000001000000}" name="№" totalsRowLabel="ЛР1"/>
    <tableColumn id="2" xr3:uid="{00000000-0010-0000-0000-000002000000}" name="Фамилия, имя"/>
    <tableColumn id="3" xr3:uid="{00000000-0010-0000-0000-000003000000}" name="Имя"/>
    <tableColumn id="4" xr3:uid="{00000000-0010-0000-0000-000004000000}" name="Пол"/>
    <tableColumn id="9" xr3:uid="{00000000-0010-0000-0000-000009000000}" name="Вар. ЛР" totalsRowFunction="custom">
      <totalsRowFormula>SUM(H32:N32)</totalsRowFormula>
    </tableColumn>
    <tableColumn id="5" xr3:uid="{00000000-0010-0000-0000-000005000000}" name="08.сен" totalsRowDxfId="94"/>
    <tableColumn id="6" xr3:uid="{00000000-0010-0000-0000-000006000000}" name="22.сен" totalsRowFunction="countNums" totalsRowDxfId="93"/>
    <tableColumn id="7" xr3:uid="{00000000-0010-0000-0000-000007000000}" name="06.окт" totalsRowFunction="countNums"/>
    <tableColumn id="8" xr3:uid="{00000000-0010-0000-0000-000008000000}" name="20.окт" totalsRowFunction="custom" totalsRowDxfId="92">
      <totalsRowFormula>COUNTIF(Список[20.окт],1)</totalsRowFormula>
    </tableColumn>
    <tableColumn id="11" xr3:uid="{00000000-0010-0000-0000-00000B000000}" name="17.ноя" totalsRowFunction="custom">
      <totalsRowFormula>COUNTIF(Список[17.ноя],1)</totalsRowFormula>
    </tableColumn>
    <tableColumn id="12" xr3:uid="{00000000-0010-0000-0000-00000C000000}" name="01.дек" totalsRowFunction="custom">
      <totalsRowFormula>COUNTIF(Список[01.дек],1)</totalsRowFormula>
    </tableColumn>
    <tableColumn id="13" xr3:uid="{00000000-0010-0000-0000-00000D000000}" name="15.дек" totalsRowFunction="custom">
      <totalsRowFormula>COUNTIF(Список[15.дек],1)</totalsRowFormula>
    </tableColumn>
    <tableColumn id="14" xr3:uid="{00000000-0010-0000-0000-00000E000000}" name="22.дек" totalsRowFunction="custom">
      <totalsRowFormula>COUNTIF(Список[22.дек],1)</totalsRowFormula>
    </tableColumn>
    <tableColumn id="15" xr3:uid="{00000000-0010-0000-0000-00000F000000}" name="Встреч">
      <calculatedColumnFormula>COUNTA(Список[[#This Row],[08.сен]:[22.дек]])</calculatedColumnFormula>
    </tableColumn>
    <tableColumn id="16" xr3:uid="{00000000-0010-0000-0000-000010000000}" name="27.окт" totalsRowFunction="countNums"/>
    <tableColumn id="10" xr3:uid="{00000000-0010-0000-0000-00000A000000}" name="Баллы1" totalsRowDxfId="91"/>
    <tableColumn id="18" xr3:uid="{7200B40B-4F63-4AF1-802E-17C04B272670}" name="ДЗ" totalsRowFunction="countNums" totalsRowDxfId="90"/>
    <tableColumn id="17" xr3:uid="{00000000-0010-0000-0000-000011000000}" name="Баллы2" totalsRowDxfId="89"/>
    <tableColumn id="19" xr3:uid="{C554BA58-7D4A-4C7C-BA59-256175785E3F}" name="Баллы3" dataDxfId="88" totalsRowDxfId="87">
      <calculatedColumnFormula>Список[[#This Row],[Баллы1]]+Список[[#This Row],[Баллы2]]</calculatedColumnFormula>
    </tableColumn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B64B1-3B11-463E-B8B7-D6701A3690E4}">
  <dimension ref="B1:AI41"/>
  <sheetViews>
    <sheetView showGridLines="0" showRowColHeaders="0" tabSelected="1" zoomScale="120" zoomScaleNormal="120" workbookViewId="0">
      <pane xSplit="13" ySplit="5" topLeftCell="N6" activePane="bottomRight" state="frozen"/>
      <selection pane="topRight" activeCell="N1" sqref="N1"/>
      <selection pane="bottomLeft" activeCell="A6" sqref="A6"/>
      <selection pane="bottomRight" activeCell="AI2" sqref="AI2"/>
    </sheetView>
  </sheetViews>
  <sheetFormatPr defaultRowHeight="15" outlineLevelCol="2" x14ac:dyDescent="0.25"/>
  <cols>
    <col min="1" max="1" width="1.5703125" customWidth="1"/>
    <col min="2" max="2" width="4.85546875" customWidth="1"/>
    <col min="3" max="3" width="23.5703125" customWidth="1"/>
    <col min="4" max="4" width="13" hidden="1" customWidth="1"/>
    <col min="5" max="5" width="6.7109375" hidden="1" customWidth="1"/>
    <col min="6" max="6" width="5.7109375" customWidth="1"/>
    <col min="7" max="7" width="7" hidden="1" customWidth="1" outlineLevel="1"/>
    <col min="8" max="10" width="7.28515625" hidden="1" customWidth="1" outlineLevel="1"/>
    <col min="11" max="12" width="6.5703125" hidden="1" customWidth="1" outlineLevel="1"/>
    <col min="13" max="13" width="7" hidden="1" customWidth="1" outlineLevel="1"/>
    <col min="14" max="14" width="4.85546875" customWidth="1" collapsed="1"/>
    <col min="15" max="18" width="7.140625" customWidth="1"/>
    <col min="19" max="19" width="7.85546875" customWidth="1"/>
    <col min="20" max="27" width="9.140625" hidden="1" customWidth="1" outlineLevel="2"/>
    <col min="28" max="28" width="6.42578125" customWidth="1" collapsed="1"/>
    <col min="29" max="29" width="7.140625" customWidth="1"/>
    <col min="30" max="30" width="7.5703125" customWidth="1"/>
    <col min="31" max="31" width="8" customWidth="1"/>
    <col min="32" max="32" width="7.42578125" customWidth="1"/>
    <col min="33" max="33" width="8" customWidth="1"/>
    <col min="34" max="34" width="7.42578125" customWidth="1"/>
    <col min="35" max="35" width="47.5703125" customWidth="1"/>
  </cols>
  <sheetData>
    <row r="1" spans="2:35" ht="21" customHeight="1" x14ac:dyDescent="0.25">
      <c r="C1" s="37" t="s">
        <v>194</v>
      </c>
    </row>
    <row r="2" spans="2:35" ht="27.75" customHeight="1" x14ac:dyDescent="0.25">
      <c r="G2" s="35" t="s">
        <v>164</v>
      </c>
      <c r="H2" s="35" t="s">
        <v>165</v>
      </c>
      <c r="I2" s="35" t="s">
        <v>166</v>
      </c>
      <c r="J2" s="35" t="s">
        <v>167</v>
      </c>
      <c r="K2" s="35" t="s">
        <v>168</v>
      </c>
      <c r="L2" s="35" t="s">
        <v>177</v>
      </c>
      <c r="M2" s="35" t="s">
        <v>169</v>
      </c>
      <c r="N2" s="35"/>
      <c r="O2" s="35" t="s">
        <v>173</v>
      </c>
      <c r="P2" s="35" t="s">
        <v>174</v>
      </c>
      <c r="Q2" s="35" t="s">
        <v>175</v>
      </c>
      <c r="R2" s="35" t="s">
        <v>176</v>
      </c>
      <c r="S2" s="35" t="s">
        <v>181</v>
      </c>
      <c r="AB2" s="35"/>
      <c r="AC2" s="35" t="s">
        <v>178</v>
      </c>
      <c r="AD2" s="35" t="s">
        <v>179</v>
      </c>
      <c r="AE2" s="35" t="s">
        <v>180</v>
      </c>
      <c r="AF2" s="35" t="s">
        <v>182</v>
      </c>
      <c r="AG2" s="35" t="s">
        <v>183</v>
      </c>
    </row>
    <row r="3" spans="2:35" ht="12" customHeight="1" x14ac:dyDescent="0.25">
      <c r="G3" s="30"/>
      <c r="H3" s="31"/>
      <c r="I3" s="30"/>
      <c r="J3" s="31"/>
      <c r="K3" s="32"/>
      <c r="L3" s="33"/>
      <c r="M3" s="31"/>
      <c r="N3" s="36">
        <v>8</v>
      </c>
      <c r="O3" s="36">
        <v>10</v>
      </c>
      <c r="P3" s="36">
        <v>10</v>
      </c>
      <c r="Q3" s="36">
        <v>10</v>
      </c>
      <c r="R3" s="36">
        <v>12</v>
      </c>
      <c r="S3" s="36">
        <v>50</v>
      </c>
      <c r="AB3" s="36">
        <v>8</v>
      </c>
      <c r="AC3" s="36">
        <v>8</v>
      </c>
      <c r="AD3" s="36">
        <v>8</v>
      </c>
      <c r="AE3" s="36">
        <v>12</v>
      </c>
      <c r="AF3" s="36">
        <v>14</v>
      </c>
      <c r="AG3" s="36">
        <v>50</v>
      </c>
    </row>
    <row r="4" spans="2:35" ht="7.5" customHeight="1" x14ac:dyDescent="0.25"/>
    <row r="5" spans="2:35" x14ac:dyDescent="0.25">
      <c r="B5" t="s">
        <v>3</v>
      </c>
      <c r="C5" t="s">
        <v>2</v>
      </c>
      <c r="D5" t="s">
        <v>51</v>
      </c>
      <c r="E5" t="s">
        <v>58</v>
      </c>
      <c r="F5" t="s">
        <v>65</v>
      </c>
      <c r="G5" s="8" t="s">
        <v>157</v>
      </c>
      <c r="H5" s="8" t="s">
        <v>158</v>
      </c>
      <c r="I5" s="8" t="s">
        <v>159</v>
      </c>
      <c r="J5" s="8" t="s">
        <v>160</v>
      </c>
      <c r="K5" s="8" t="s">
        <v>161</v>
      </c>
      <c r="L5" s="8" t="s">
        <v>162</v>
      </c>
      <c r="M5" s="8" t="s">
        <v>163</v>
      </c>
      <c r="N5" s="3" t="s">
        <v>185</v>
      </c>
      <c r="O5" s="42" t="s">
        <v>170</v>
      </c>
      <c r="P5" s="43" t="s">
        <v>171</v>
      </c>
      <c r="Q5" s="43" t="s">
        <v>172</v>
      </c>
      <c r="R5" s="43" t="s">
        <v>86</v>
      </c>
      <c r="S5" t="s">
        <v>191</v>
      </c>
      <c r="T5" t="s">
        <v>120</v>
      </c>
      <c r="U5" s="8" t="s">
        <v>121</v>
      </c>
      <c r="V5" s="8" t="s">
        <v>145</v>
      </c>
      <c r="W5" s="8" t="s">
        <v>146</v>
      </c>
      <c r="X5" s="8" t="s">
        <v>147</v>
      </c>
      <c r="Y5" s="8" t="s">
        <v>148</v>
      </c>
      <c r="Z5" s="8" t="s">
        <v>149</v>
      </c>
      <c r="AA5" s="8" t="s">
        <v>150</v>
      </c>
      <c r="AB5" t="s">
        <v>193</v>
      </c>
      <c r="AC5" s="20" t="s">
        <v>187</v>
      </c>
      <c r="AD5" t="s">
        <v>188</v>
      </c>
      <c r="AE5" t="s">
        <v>189</v>
      </c>
      <c r="AF5" t="s">
        <v>190</v>
      </c>
      <c r="AG5" t="s">
        <v>192</v>
      </c>
      <c r="AH5" t="s">
        <v>186</v>
      </c>
      <c r="AI5" t="s">
        <v>195</v>
      </c>
    </row>
    <row r="6" spans="2:35" x14ac:dyDescent="0.25">
      <c r="B6" s="46">
        <v>1</v>
      </c>
      <c r="C6" s="46" t="s">
        <v>88</v>
      </c>
      <c r="D6" s="46" t="s">
        <v>129</v>
      </c>
      <c r="E6" s="46" t="s">
        <v>28</v>
      </c>
      <c r="F6" s="46">
        <v>1</v>
      </c>
      <c r="G6" s="34" t="s">
        <v>76</v>
      </c>
      <c r="H6" s="34" t="s">
        <v>76</v>
      </c>
      <c r="I6" s="34" t="s">
        <v>76</v>
      </c>
      <c r="J6" s="46"/>
      <c r="K6" s="46"/>
      <c r="L6" s="46"/>
      <c r="M6" s="46"/>
      <c r="N6" s="46">
        <f>COUNTA(Список35[[#This Row],[02.сен]:[25.дек]])</f>
        <v>3</v>
      </c>
      <c r="O6" s="46">
        <v>4</v>
      </c>
      <c r="P6" s="46"/>
      <c r="Q6" s="46"/>
      <c r="R6" s="46"/>
      <c r="S6" s="46">
        <f>Список35[[#This Row],[Лекции]]+Список35[[#This Row],[РК1]]+Список35[[#This Row],[РК2]]+Список35[[#This Row],[РК3]]+Список35[[#This Row],[ДЗ]]</f>
        <v>7</v>
      </c>
      <c r="T6" s="34" t="s">
        <v>76</v>
      </c>
      <c r="U6" s="34" t="s">
        <v>76</v>
      </c>
      <c r="V6" s="34"/>
      <c r="W6" s="34"/>
      <c r="X6" s="34"/>
      <c r="Y6" s="34"/>
      <c r="Z6" s="34"/>
      <c r="AA6" s="34"/>
      <c r="AB6" s="46">
        <f>COUNTA(Список35[[#This Row],[09.сен]:[30.дек]])</f>
        <v>2</v>
      </c>
      <c r="AC6" s="46">
        <f>COUNTIF(Список35[[#This Row],[09.сен]:[30.дек]],1)*AC$3</f>
        <v>0</v>
      </c>
      <c r="AD6" s="46">
        <f>COUNTIF(Список35[[#This Row],[09.сен]:[30.дек]],2)*AD$3</f>
        <v>0</v>
      </c>
      <c r="AE6" s="46">
        <f>COUNTIF(Список35[[#This Row],[09.сен]:[30.дек]],3)*AE$3</f>
        <v>0</v>
      </c>
      <c r="AF6" s="46">
        <f>COUNTIF(Список35[[#This Row],[09.сен]:[30.дек]],4)*AF$3</f>
        <v>0</v>
      </c>
      <c r="AG6" s="46">
        <f>SUM(Список35[[#This Row],[Лабы]:[Отч4]])</f>
        <v>2</v>
      </c>
      <c r="AH6" s="46">
        <f>Список35[[#This Row],[Теория]]+Список35[[#This Row],[Практика]]</f>
        <v>9</v>
      </c>
      <c r="AI6" s="44" t="s">
        <v>204</v>
      </c>
    </row>
    <row r="7" spans="2:35" x14ac:dyDescent="0.25">
      <c r="B7" s="46">
        <v>2</v>
      </c>
      <c r="C7" s="46" t="s">
        <v>89</v>
      </c>
      <c r="D7" s="46" t="s">
        <v>39</v>
      </c>
      <c r="E7" s="46" t="s">
        <v>28</v>
      </c>
      <c r="F7" s="46"/>
      <c r="G7" s="34"/>
      <c r="H7" s="47"/>
      <c r="I7" s="34"/>
      <c r="J7" s="47"/>
      <c r="K7" s="46"/>
      <c r="L7" s="46"/>
      <c r="M7" s="47"/>
      <c r="N7" s="46">
        <f>COUNTA(Список35[[#This Row],[02.сен]:[25.дек]])</f>
        <v>0</v>
      </c>
      <c r="O7" s="46"/>
      <c r="P7" s="48"/>
      <c r="Q7" s="46"/>
      <c r="R7" s="48"/>
      <c r="S7" s="46">
        <f>Список35[[#This Row],[Лекции]]+Список35[[#This Row],[РК1]]+Список35[[#This Row],[РК2]]+Список35[[#This Row],[РК3]]+Список35[[#This Row],[ДЗ]]</f>
        <v>0</v>
      </c>
      <c r="T7" s="34"/>
      <c r="U7" s="47"/>
      <c r="V7" s="34"/>
      <c r="W7" s="47"/>
      <c r="X7" s="34"/>
      <c r="Y7" s="34"/>
      <c r="Z7" s="47"/>
      <c r="AA7" s="34"/>
      <c r="AB7" s="49">
        <f>COUNTA(Список35[[#This Row],[09.сен]:[30.дек]])</f>
        <v>0</v>
      </c>
      <c r="AC7" s="46">
        <f>COUNTIF(Список35[[#This Row],[09.сен]:[30.дек]],1)*AC$3</f>
        <v>0</v>
      </c>
      <c r="AD7" s="46">
        <f>COUNTIF(Список35[[#This Row],[09.сен]:[30.дек]],2)*AD$3</f>
        <v>0</v>
      </c>
      <c r="AE7" s="46">
        <f>COUNTIF(Список35[[#This Row],[09.сен]:[30.дек]],3)*AE$3</f>
        <v>0</v>
      </c>
      <c r="AF7" s="46">
        <f>COUNTIF(Список35[[#This Row],[09.сен]:[30.дек]],4)*AF$3</f>
        <v>0</v>
      </c>
      <c r="AG7" s="49">
        <f>SUM(Список35[[#This Row],[Лабы]:[Отч4]])</f>
        <v>0</v>
      </c>
      <c r="AH7" s="46">
        <f>Список35[[#This Row],[Теория]]+Список35[[#This Row],[Практика]]</f>
        <v>0</v>
      </c>
      <c r="AI7" s="44"/>
    </row>
    <row r="8" spans="2:35" x14ac:dyDescent="0.25">
      <c r="B8" s="46">
        <v>3</v>
      </c>
      <c r="C8" s="46" t="s">
        <v>90</v>
      </c>
      <c r="D8" s="46" t="s">
        <v>130</v>
      </c>
      <c r="E8" s="46" t="s">
        <v>28</v>
      </c>
      <c r="F8" s="46"/>
      <c r="G8" s="34" t="s">
        <v>76</v>
      </c>
      <c r="H8" s="34"/>
      <c r="I8" s="34" t="s">
        <v>76</v>
      </c>
      <c r="J8" s="34"/>
      <c r="K8" s="46"/>
      <c r="L8" s="46"/>
      <c r="M8" s="46"/>
      <c r="N8" s="46">
        <f>COUNTA(Список35[[#This Row],[02.сен]:[25.дек]])</f>
        <v>2</v>
      </c>
      <c r="O8" s="46">
        <v>7</v>
      </c>
      <c r="P8" s="46"/>
      <c r="Q8" s="46"/>
      <c r="R8" s="46"/>
      <c r="S8" s="46">
        <f>Список35[[#This Row],[Лекции]]+Список35[[#This Row],[РК1]]+Список35[[#This Row],[РК2]]+Список35[[#This Row],[РК3]]+Список35[[#This Row],[ДЗ]]</f>
        <v>9</v>
      </c>
      <c r="T8" s="34"/>
      <c r="U8" s="34" t="s">
        <v>76</v>
      </c>
      <c r="V8" s="34"/>
      <c r="W8" s="34"/>
      <c r="X8" s="34"/>
      <c r="Y8" s="34"/>
      <c r="Z8" s="34"/>
      <c r="AA8" s="34"/>
      <c r="AB8" s="46">
        <f>COUNTA(Список35[[#This Row],[09.сен]:[30.дек]])</f>
        <v>1</v>
      </c>
      <c r="AC8" s="46">
        <f>COUNTIF(Список35[[#This Row],[09.сен]:[30.дек]],1)*AC$3</f>
        <v>0</v>
      </c>
      <c r="AD8" s="46">
        <f>COUNTIF(Список35[[#This Row],[09.сен]:[30.дек]],2)*AD$3</f>
        <v>0</v>
      </c>
      <c r="AE8" s="46">
        <f>COUNTIF(Список35[[#This Row],[09.сен]:[30.дек]],3)*AE$3</f>
        <v>0</v>
      </c>
      <c r="AF8" s="46">
        <f>COUNTIF(Список35[[#This Row],[09.сен]:[30.дек]],4)*AF$3</f>
        <v>0</v>
      </c>
      <c r="AG8" s="46">
        <f>SUM(Список35[[#This Row],[Лабы]:[Отч4]])</f>
        <v>1</v>
      </c>
      <c r="AH8" s="46">
        <f>Список35[[#This Row],[Теория]]+Список35[[#This Row],[Практика]]</f>
        <v>10</v>
      </c>
      <c r="AI8" s="44"/>
    </row>
    <row r="9" spans="2:35" x14ac:dyDescent="0.25">
      <c r="B9" s="46">
        <v>4</v>
      </c>
      <c r="C9" s="46" t="s">
        <v>91</v>
      </c>
      <c r="D9" s="46" t="s">
        <v>131</v>
      </c>
      <c r="E9" s="46" t="s">
        <v>28</v>
      </c>
      <c r="F9" s="46">
        <v>4</v>
      </c>
      <c r="G9" s="34" t="s">
        <v>76</v>
      </c>
      <c r="H9" s="47"/>
      <c r="I9" s="34" t="s">
        <v>76</v>
      </c>
      <c r="J9" s="34"/>
      <c r="K9" s="46"/>
      <c r="L9" s="46"/>
      <c r="M9" s="46"/>
      <c r="N9" s="46">
        <f>COUNTA(Список35[[#This Row],[02.сен]:[25.дек]])</f>
        <v>2</v>
      </c>
      <c r="O9" s="46">
        <v>5</v>
      </c>
      <c r="P9" s="46"/>
      <c r="Q9" s="46"/>
      <c r="R9" s="46"/>
      <c r="S9" s="46">
        <f>Список35[[#This Row],[Лекции]]+Список35[[#This Row],[РК1]]+Список35[[#This Row],[РК2]]+Список35[[#This Row],[РК3]]+Список35[[#This Row],[ДЗ]]</f>
        <v>7</v>
      </c>
      <c r="T9" s="34" t="s">
        <v>76</v>
      </c>
      <c r="U9" s="47"/>
      <c r="V9" s="34"/>
      <c r="W9" s="34"/>
      <c r="X9" s="34"/>
      <c r="Y9" s="34"/>
      <c r="Z9" s="34"/>
      <c r="AA9" s="34"/>
      <c r="AB9" s="46">
        <f>COUNTA(Список35[[#This Row],[09.сен]:[30.дек]])</f>
        <v>1</v>
      </c>
      <c r="AC9" s="46">
        <f>COUNTIF(Список35[[#This Row],[09.сен]:[30.дек]],1)*AC$3</f>
        <v>0</v>
      </c>
      <c r="AD9" s="46">
        <f>COUNTIF(Список35[[#This Row],[09.сен]:[30.дек]],2)*AD$3</f>
        <v>0</v>
      </c>
      <c r="AE9" s="46">
        <f>COUNTIF(Список35[[#This Row],[09.сен]:[30.дек]],3)*AE$3</f>
        <v>0</v>
      </c>
      <c r="AF9" s="46">
        <f>COUNTIF(Список35[[#This Row],[09.сен]:[30.дек]],4)*AF$3</f>
        <v>0</v>
      </c>
      <c r="AG9" s="46">
        <f>SUM(Список35[[#This Row],[Лабы]:[Отч4]])</f>
        <v>1</v>
      </c>
      <c r="AH9" s="46">
        <f>Список35[[#This Row],[Теория]]+Список35[[#This Row],[Практика]]</f>
        <v>8</v>
      </c>
      <c r="AI9" s="44"/>
    </row>
    <row r="10" spans="2:35" x14ac:dyDescent="0.25">
      <c r="B10" s="46">
        <v>5</v>
      </c>
      <c r="C10" s="46" t="s">
        <v>92</v>
      </c>
      <c r="D10" s="46" t="s">
        <v>50</v>
      </c>
      <c r="E10" s="46" t="s">
        <v>28</v>
      </c>
      <c r="F10" s="46">
        <v>5</v>
      </c>
      <c r="G10" s="34" t="s">
        <v>76</v>
      </c>
      <c r="H10" s="47" t="s">
        <v>76</v>
      </c>
      <c r="I10" s="34" t="s">
        <v>76</v>
      </c>
      <c r="J10" s="34"/>
      <c r="K10" s="34"/>
      <c r="L10" s="34"/>
      <c r="M10" s="34"/>
      <c r="N10" s="46">
        <f>COUNTA(Список35[[#This Row],[02.сен]:[25.дек]])</f>
        <v>3</v>
      </c>
      <c r="O10" s="46">
        <v>8</v>
      </c>
      <c r="P10" s="46"/>
      <c r="Q10" s="46"/>
      <c r="R10" s="46"/>
      <c r="S10" s="46">
        <f>Список35[[#This Row],[Лекции]]+Список35[[#This Row],[РК1]]+Список35[[#This Row],[РК2]]+Список35[[#This Row],[РК3]]+Список35[[#This Row],[ДЗ]]</f>
        <v>11</v>
      </c>
      <c r="T10" s="34" t="s">
        <v>76</v>
      </c>
      <c r="U10" s="47">
        <v>1</v>
      </c>
      <c r="V10" s="34"/>
      <c r="W10" s="34"/>
      <c r="X10" s="34"/>
      <c r="Y10" s="34"/>
      <c r="Z10" s="34"/>
      <c r="AA10" s="34"/>
      <c r="AB10" s="46">
        <f>COUNTA(Список35[[#This Row],[09.сен]:[30.дек]])</f>
        <v>2</v>
      </c>
      <c r="AC10" s="46">
        <f>COUNTIF(Список35[[#This Row],[09.сен]:[30.дек]],1)*AC$3</f>
        <v>8</v>
      </c>
      <c r="AD10" s="46">
        <f>COUNTIF(Список35[[#This Row],[09.сен]:[30.дек]],2)*AD$3</f>
        <v>0</v>
      </c>
      <c r="AE10" s="46">
        <f>COUNTIF(Список35[[#This Row],[09.сен]:[30.дек]],3)*AE$3</f>
        <v>0</v>
      </c>
      <c r="AF10" s="46">
        <f>COUNTIF(Список35[[#This Row],[09.сен]:[30.дек]],4)*AF$3</f>
        <v>0</v>
      </c>
      <c r="AG10" s="46">
        <f>SUM(Список35[[#This Row],[Лабы]:[Отч4]])</f>
        <v>10</v>
      </c>
      <c r="AH10" s="46">
        <f>Список35[[#This Row],[Теория]]+Список35[[#This Row],[Практика]]</f>
        <v>21</v>
      </c>
      <c r="AI10" s="44" t="s">
        <v>208</v>
      </c>
    </row>
    <row r="11" spans="2:35" x14ac:dyDescent="0.25">
      <c r="B11" s="46">
        <v>6</v>
      </c>
      <c r="C11" s="46" t="s">
        <v>93</v>
      </c>
      <c r="D11" s="46" t="s">
        <v>132</v>
      </c>
      <c r="E11" s="46" t="s">
        <v>28</v>
      </c>
      <c r="F11" s="46">
        <v>6</v>
      </c>
      <c r="G11" s="34" t="s">
        <v>76</v>
      </c>
      <c r="H11" s="47" t="s">
        <v>76</v>
      </c>
      <c r="I11" s="47" t="s">
        <v>76</v>
      </c>
      <c r="J11" s="46"/>
      <c r="K11" s="47"/>
      <c r="L11" s="47"/>
      <c r="M11" s="34"/>
      <c r="N11" s="46">
        <f>COUNTA(Список35[[#This Row],[02.сен]:[25.дек]])</f>
        <v>3</v>
      </c>
      <c r="O11" s="46">
        <v>10</v>
      </c>
      <c r="P11" s="46"/>
      <c r="Q11" s="46"/>
      <c r="R11" s="46"/>
      <c r="S11" s="46">
        <f>Список35[[#This Row],[Лекции]]+Список35[[#This Row],[РК1]]+Список35[[#This Row],[РК2]]+Список35[[#This Row],[РК3]]+Список35[[#This Row],[ДЗ]]</f>
        <v>13</v>
      </c>
      <c r="T11" s="34" t="s">
        <v>76</v>
      </c>
      <c r="U11" s="47" t="s">
        <v>184</v>
      </c>
      <c r="V11" s="47"/>
      <c r="W11" s="34"/>
      <c r="X11" s="47"/>
      <c r="Y11" s="47"/>
      <c r="Z11" s="34"/>
      <c r="AA11" s="34"/>
      <c r="AB11" s="46">
        <f>COUNTA(Список35[[#This Row],[09.сен]:[30.дек]])</f>
        <v>2</v>
      </c>
      <c r="AC11" s="46">
        <f>COUNTIF(Список35[[#This Row],[09.сен]:[30.дек]],1)*AC$3</f>
        <v>0</v>
      </c>
      <c r="AD11" s="46">
        <f>COUNTIF(Список35[[#This Row],[09.сен]:[30.дек]],2)*AD$3</f>
        <v>0</v>
      </c>
      <c r="AE11" s="46">
        <f>COUNTIF(Список35[[#This Row],[09.сен]:[30.дек]],3)*AE$3</f>
        <v>0</v>
      </c>
      <c r="AF11" s="46">
        <f>COUNTIF(Список35[[#This Row],[09.сен]:[30.дек]],4)*AF$3</f>
        <v>0</v>
      </c>
      <c r="AG11" s="46">
        <f>SUM(Список35[[#This Row],[Лабы]:[Отч4]])</f>
        <v>2</v>
      </c>
      <c r="AH11" s="46">
        <f>Список35[[#This Row],[Теория]]+Список35[[#This Row],[Практика]]</f>
        <v>15</v>
      </c>
      <c r="AI11" s="44" t="s">
        <v>203</v>
      </c>
    </row>
    <row r="12" spans="2:35" x14ac:dyDescent="0.25">
      <c r="B12" s="46">
        <v>7</v>
      </c>
      <c r="C12" s="46" t="s">
        <v>94</v>
      </c>
      <c r="D12" s="46" t="s">
        <v>37</v>
      </c>
      <c r="E12" s="46" t="s">
        <v>28</v>
      </c>
      <c r="F12" s="46">
        <v>7</v>
      </c>
      <c r="G12" s="34" t="s">
        <v>76</v>
      </c>
      <c r="H12" s="47" t="s">
        <v>76</v>
      </c>
      <c r="I12" s="47" t="s">
        <v>76</v>
      </c>
      <c r="J12" s="34"/>
      <c r="K12" s="34"/>
      <c r="L12" s="34"/>
      <c r="M12" s="34"/>
      <c r="N12" s="46">
        <f>COUNTA(Список35[[#This Row],[02.сен]:[25.дек]])</f>
        <v>3</v>
      </c>
      <c r="O12" s="46">
        <v>10</v>
      </c>
      <c r="P12" s="46"/>
      <c r="Q12" s="46"/>
      <c r="R12" s="46"/>
      <c r="S12" s="46">
        <f>Список35[[#This Row],[Лекции]]+Список35[[#This Row],[РК1]]+Список35[[#This Row],[РК2]]+Список35[[#This Row],[РК3]]+Список35[[#This Row],[ДЗ]]</f>
        <v>13</v>
      </c>
      <c r="T12" s="34" t="s">
        <v>76</v>
      </c>
      <c r="U12" s="47" t="s">
        <v>184</v>
      </c>
      <c r="V12" s="47"/>
      <c r="W12" s="34"/>
      <c r="X12" s="34"/>
      <c r="Y12" s="34"/>
      <c r="Z12" s="34"/>
      <c r="AA12" s="34"/>
      <c r="AB12" s="46">
        <f>COUNTA(Список35[[#This Row],[09.сен]:[30.дек]])</f>
        <v>2</v>
      </c>
      <c r="AC12" s="46">
        <f>COUNTIF(Список35[[#This Row],[09.сен]:[30.дек]],1)*AC$3</f>
        <v>0</v>
      </c>
      <c r="AD12" s="46">
        <f>COUNTIF(Список35[[#This Row],[09.сен]:[30.дек]],2)*AD$3</f>
        <v>0</v>
      </c>
      <c r="AE12" s="46">
        <f>COUNTIF(Список35[[#This Row],[09.сен]:[30.дек]],3)*AE$3</f>
        <v>0</v>
      </c>
      <c r="AF12" s="46">
        <f>COUNTIF(Список35[[#This Row],[09.сен]:[30.дек]],4)*AF$3</f>
        <v>0</v>
      </c>
      <c r="AG12" s="46">
        <f>SUM(Список35[[#This Row],[Лабы]:[Отч4]])</f>
        <v>2</v>
      </c>
      <c r="AH12" s="46">
        <f>Список35[[#This Row],[Теория]]+Список35[[#This Row],[Практика]]</f>
        <v>15</v>
      </c>
      <c r="AI12" s="44" t="s">
        <v>207</v>
      </c>
    </row>
    <row r="13" spans="2:35" x14ac:dyDescent="0.25">
      <c r="B13" s="46">
        <v>8</v>
      </c>
      <c r="C13" s="46" t="s">
        <v>95</v>
      </c>
      <c r="D13" s="46" t="s">
        <v>133</v>
      </c>
      <c r="E13" s="46" t="s">
        <v>28</v>
      </c>
      <c r="F13" s="46">
        <v>7</v>
      </c>
      <c r="G13" s="34" t="s">
        <v>76</v>
      </c>
      <c r="H13" s="34" t="s">
        <v>76</v>
      </c>
      <c r="I13" s="34" t="s">
        <v>76</v>
      </c>
      <c r="J13" s="34"/>
      <c r="K13" s="34"/>
      <c r="L13" s="34"/>
      <c r="M13" s="34"/>
      <c r="N13" s="46">
        <f>COUNTA(Список35[[#This Row],[02.сен]:[25.дек]])</f>
        <v>3</v>
      </c>
      <c r="O13" s="46">
        <v>8</v>
      </c>
      <c r="P13" s="46"/>
      <c r="Q13" s="46"/>
      <c r="R13" s="46"/>
      <c r="S13" s="46">
        <f>Список35[[#This Row],[Лекции]]+Список35[[#This Row],[РК1]]+Список35[[#This Row],[РК2]]+Список35[[#This Row],[РК3]]+Список35[[#This Row],[ДЗ]]</f>
        <v>11</v>
      </c>
      <c r="T13" s="34" t="s">
        <v>76</v>
      </c>
      <c r="U13" s="34" t="s">
        <v>184</v>
      </c>
      <c r="V13" s="34"/>
      <c r="W13" s="34"/>
      <c r="X13" s="34"/>
      <c r="Y13" s="34"/>
      <c r="Z13" s="34"/>
      <c r="AA13" s="34"/>
      <c r="AB13" s="46">
        <f>COUNTA(Список35[[#This Row],[09.сен]:[30.дек]])</f>
        <v>2</v>
      </c>
      <c r="AC13" s="46">
        <f>COUNTIF(Список35[[#This Row],[09.сен]:[30.дек]],1)*AC$3</f>
        <v>0</v>
      </c>
      <c r="AD13" s="46">
        <f>COUNTIF(Список35[[#This Row],[09.сен]:[30.дек]],2)*AD$3</f>
        <v>0</v>
      </c>
      <c r="AE13" s="46">
        <f>COUNTIF(Список35[[#This Row],[09.сен]:[30.дек]],3)*AE$3</f>
        <v>0</v>
      </c>
      <c r="AF13" s="46">
        <f>COUNTIF(Список35[[#This Row],[09.сен]:[30.дек]],4)*AF$3</f>
        <v>0</v>
      </c>
      <c r="AG13" s="46">
        <f>SUM(Список35[[#This Row],[Лабы]:[Отч4]])</f>
        <v>2</v>
      </c>
      <c r="AH13" s="46">
        <f>Список35[[#This Row],[Теория]]+Список35[[#This Row],[Практика]]</f>
        <v>13</v>
      </c>
      <c r="AI13" s="44"/>
    </row>
    <row r="14" spans="2:35" x14ac:dyDescent="0.25">
      <c r="B14" s="46">
        <v>9</v>
      </c>
      <c r="C14" s="46" t="s">
        <v>96</v>
      </c>
      <c r="D14" s="46" t="s">
        <v>134</v>
      </c>
      <c r="E14" s="46" t="s">
        <v>29</v>
      </c>
      <c r="F14" s="50">
        <v>9</v>
      </c>
      <c r="G14" s="34" t="s">
        <v>76</v>
      </c>
      <c r="H14" s="34" t="s">
        <v>76</v>
      </c>
      <c r="I14" s="34" t="s">
        <v>76</v>
      </c>
      <c r="J14" s="34"/>
      <c r="K14" s="34"/>
      <c r="L14" s="34"/>
      <c r="M14" s="34"/>
      <c r="N14" s="46">
        <f>COUNTA(Список35[[#This Row],[02.сен]:[25.дек]])</f>
        <v>3</v>
      </c>
      <c r="O14" s="46">
        <v>8</v>
      </c>
      <c r="P14" s="46"/>
      <c r="Q14" s="46"/>
      <c r="R14" s="46"/>
      <c r="S14" s="46">
        <f>Список35[[#This Row],[Лекции]]+Список35[[#This Row],[РК1]]+Список35[[#This Row],[РК2]]+Список35[[#This Row],[РК3]]+Список35[[#This Row],[ДЗ]]</f>
        <v>11</v>
      </c>
      <c r="T14" s="34" t="s">
        <v>76</v>
      </c>
      <c r="U14" s="34" t="s">
        <v>76</v>
      </c>
      <c r="V14" s="34"/>
      <c r="W14" s="34"/>
      <c r="X14" s="34"/>
      <c r="Y14" s="34"/>
      <c r="Z14" s="34"/>
      <c r="AA14" s="34"/>
      <c r="AB14" s="46">
        <f>COUNTA(Список35[[#This Row],[09.сен]:[30.дек]])</f>
        <v>2</v>
      </c>
      <c r="AC14" s="46">
        <f>COUNTIF(Список35[[#This Row],[09.сен]:[30.дек]],1)*AC$3</f>
        <v>0</v>
      </c>
      <c r="AD14" s="46">
        <f>COUNTIF(Список35[[#This Row],[09.сен]:[30.дек]],2)*AD$3</f>
        <v>0</v>
      </c>
      <c r="AE14" s="46">
        <f>COUNTIF(Список35[[#This Row],[09.сен]:[30.дек]],3)*AE$3</f>
        <v>0</v>
      </c>
      <c r="AF14" s="46">
        <f>COUNTIF(Список35[[#This Row],[09.сен]:[30.дек]],4)*AF$3</f>
        <v>0</v>
      </c>
      <c r="AG14" s="46">
        <f>SUM(Список35[[#This Row],[Лабы]:[Отч4]])</f>
        <v>2</v>
      </c>
      <c r="AH14" s="46">
        <f>Список35[[#This Row],[Теория]]+Список35[[#This Row],[Практика]]</f>
        <v>13</v>
      </c>
      <c r="AI14" s="44"/>
    </row>
    <row r="15" spans="2:35" x14ac:dyDescent="0.25">
      <c r="B15" s="46">
        <v>10</v>
      </c>
      <c r="C15" s="46" t="s">
        <v>97</v>
      </c>
      <c r="D15" s="46" t="s">
        <v>39</v>
      </c>
      <c r="E15" s="46" t="s">
        <v>28</v>
      </c>
      <c r="F15" s="46">
        <v>3</v>
      </c>
      <c r="G15" s="34" t="s">
        <v>76</v>
      </c>
      <c r="H15" s="47" t="s">
        <v>76</v>
      </c>
      <c r="I15" s="47" t="s">
        <v>76</v>
      </c>
      <c r="J15" s="46"/>
      <c r="K15" s="34"/>
      <c r="L15" s="34"/>
      <c r="M15" s="34"/>
      <c r="N15" s="46">
        <f>COUNTA(Список35[[#This Row],[02.сен]:[25.дек]])</f>
        <v>3</v>
      </c>
      <c r="O15" s="46">
        <v>10</v>
      </c>
      <c r="P15" s="46"/>
      <c r="Q15" s="46"/>
      <c r="R15" s="46"/>
      <c r="S15" s="46">
        <f>Список35[[#This Row],[Лекции]]+Список35[[#This Row],[РК1]]+Список35[[#This Row],[РК2]]+Список35[[#This Row],[РК3]]+Список35[[#This Row],[ДЗ]]</f>
        <v>13</v>
      </c>
      <c r="T15" s="34" t="s">
        <v>76</v>
      </c>
      <c r="U15" s="47">
        <v>1</v>
      </c>
      <c r="V15" s="47"/>
      <c r="W15" s="34"/>
      <c r="X15" s="34"/>
      <c r="Y15" s="34"/>
      <c r="Z15" s="34"/>
      <c r="AA15" s="34"/>
      <c r="AB15" s="46">
        <f>COUNTA(Список35[[#This Row],[09.сен]:[30.дек]])</f>
        <v>2</v>
      </c>
      <c r="AC15" s="46">
        <f>COUNTIF(Список35[[#This Row],[09.сен]:[30.дек]],1)*AC$3</f>
        <v>8</v>
      </c>
      <c r="AD15" s="46">
        <f>COUNTIF(Список35[[#This Row],[09.сен]:[30.дек]],2)*AD$3</f>
        <v>0</v>
      </c>
      <c r="AE15" s="46">
        <f>COUNTIF(Список35[[#This Row],[09.сен]:[30.дек]],3)*AE$3</f>
        <v>0</v>
      </c>
      <c r="AF15" s="46">
        <f>COUNTIF(Список35[[#This Row],[09.сен]:[30.дек]],4)*AF$3</f>
        <v>0</v>
      </c>
      <c r="AG15" s="46">
        <f>SUM(Список35[[#This Row],[Лабы]:[Отч4]])</f>
        <v>10</v>
      </c>
      <c r="AH15" s="46">
        <f>Список35[[#This Row],[Теория]]+Список35[[#This Row],[Практика]]</f>
        <v>23</v>
      </c>
      <c r="AI15" s="44"/>
    </row>
    <row r="16" spans="2:35" x14ac:dyDescent="0.25">
      <c r="B16" s="46">
        <v>11</v>
      </c>
      <c r="C16" s="46" t="s">
        <v>98</v>
      </c>
      <c r="D16" s="46" t="s">
        <v>45</v>
      </c>
      <c r="E16" s="46" t="s">
        <v>29</v>
      </c>
      <c r="F16" s="46">
        <v>5</v>
      </c>
      <c r="G16" s="34" t="s">
        <v>76</v>
      </c>
      <c r="H16" s="34"/>
      <c r="I16" s="34" t="s">
        <v>76</v>
      </c>
      <c r="J16" s="34"/>
      <c r="K16" s="34"/>
      <c r="L16" s="34"/>
      <c r="M16" s="34"/>
      <c r="N16" s="46">
        <f>COUNTA(Список35[[#This Row],[02.сен]:[25.дек]])</f>
        <v>2</v>
      </c>
      <c r="O16" s="46">
        <v>10</v>
      </c>
      <c r="P16" s="46"/>
      <c r="Q16" s="46"/>
      <c r="R16" s="46"/>
      <c r="S16" s="46">
        <f>Список35[[#This Row],[Лекции]]+Список35[[#This Row],[РК1]]+Список35[[#This Row],[РК2]]+Список35[[#This Row],[РК3]]+Список35[[#This Row],[ДЗ]]</f>
        <v>12</v>
      </c>
      <c r="T16" s="34"/>
      <c r="U16" s="34" t="s">
        <v>76</v>
      </c>
      <c r="V16" s="34"/>
      <c r="W16" s="34"/>
      <c r="X16" s="34"/>
      <c r="Y16" s="34"/>
      <c r="Z16" s="34"/>
      <c r="AA16" s="34"/>
      <c r="AB16" s="46">
        <f>COUNTA(Список35[[#This Row],[09.сен]:[30.дек]])</f>
        <v>1</v>
      </c>
      <c r="AC16" s="46">
        <f>COUNTIF(Список35[[#This Row],[09.сен]:[30.дек]],1)*AC$3</f>
        <v>0</v>
      </c>
      <c r="AD16" s="46">
        <f>COUNTIF(Список35[[#This Row],[09.сен]:[30.дек]],2)*AD$3</f>
        <v>0</v>
      </c>
      <c r="AE16" s="46">
        <f>COUNTIF(Список35[[#This Row],[09.сен]:[30.дек]],3)*AE$3</f>
        <v>0</v>
      </c>
      <c r="AF16" s="46">
        <f>COUNTIF(Список35[[#This Row],[09.сен]:[30.дек]],4)*AF$3</f>
        <v>0</v>
      </c>
      <c r="AG16" s="46">
        <f>SUM(Список35[[#This Row],[Лабы]:[Отч4]])</f>
        <v>1</v>
      </c>
      <c r="AH16" s="46">
        <f>Список35[[#This Row],[Теория]]+Список35[[#This Row],[Практика]]</f>
        <v>13</v>
      </c>
      <c r="AI16" s="44"/>
    </row>
    <row r="17" spans="2:35" x14ac:dyDescent="0.25">
      <c r="B17" s="46">
        <v>12</v>
      </c>
      <c r="C17" s="46" t="s">
        <v>99</v>
      </c>
      <c r="D17" s="46" t="s">
        <v>33</v>
      </c>
      <c r="E17" s="46" t="s">
        <v>28</v>
      </c>
      <c r="F17" s="46">
        <v>12</v>
      </c>
      <c r="G17" s="34" t="s">
        <v>76</v>
      </c>
      <c r="H17" s="34" t="s">
        <v>76</v>
      </c>
      <c r="I17" s="34" t="s">
        <v>76</v>
      </c>
      <c r="J17" s="34"/>
      <c r="K17" s="34"/>
      <c r="L17" s="34"/>
      <c r="M17" s="34"/>
      <c r="N17" s="46">
        <f>COUNTA(Список35[[#This Row],[02.сен]:[25.дек]])</f>
        <v>3</v>
      </c>
      <c r="O17" s="46">
        <v>10</v>
      </c>
      <c r="P17" s="46"/>
      <c r="Q17" s="46"/>
      <c r="R17" s="46"/>
      <c r="S17" s="46">
        <f>Список35[[#This Row],[Лекции]]+Список35[[#This Row],[РК1]]+Список35[[#This Row],[РК2]]+Список35[[#This Row],[РК3]]+Список35[[#This Row],[ДЗ]]</f>
        <v>13</v>
      </c>
      <c r="T17" s="34" t="s">
        <v>76</v>
      </c>
      <c r="U17" s="34">
        <v>1</v>
      </c>
      <c r="V17" s="34"/>
      <c r="W17" s="34"/>
      <c r="X17" s="34"/>
      <c r="Y17" s="34"/>
      <c r="Z17" s="34"/>
      <c r="AA17" s="34"/>
      <c r="AB17" s="46">
        <f>COUNTA(Список35[[#This Row],[09.сен]:[30.дек]])</f>
        <v>2</v>
      </c>
      <c r="AC17" s="46">
        <f>COUNTIF(Список35[[#This Row],[09.сен]:[30.дек]],1)*AC$3</f>
        <v>8</v>
      </c>
      <c r="AD17" s="46">
        <f>COUNTIF(Список35[[#This Row],[09.сен]:[30.дек]],2)*AD$3</f>
        <v>0</v>
      </c>
      <c r="AE17" s="46">
        <f>COUNTIF(Список35[[#This Row],[09.сен]:[30.дек]],3)*AE$3</f>
        <v>0</v>
      </c>
      <c r="AF17" s="46">
        <f>COUNTIF(Список35[[#This Row],[09.сен]:[30.дек]],4)*AF$3</f>
        <v>0</v>
      </c>
      <c r="AG17" s="46">
        <f>SUM(Список35[[#This Row],[Лабы]:[Отч4]])</f>
        <v>10</v>
      </c>
      <c r="AH17" s="46">
        <f>Список35[[#This Row],[Теория]]+Список35[[#This Row],[Практика]]</f>
        <v>23</v>
      </c>
      <c r="AI17" s="51" t="s">
        <v>202</v>
      </c>
    </row>
    <row r="18" spans="2:35" x14ac:dyDescent="0.25">
      <c r="B18" s="46">
        <v>13</v>
      </c>
      <c r="C18" s="46" t="s">
        <v>100</v>
      </c>
      <c r="D18" s="46" t="s">
        <v>37</v>
      </c>
      <c r="E18" s="46" t="s">
        <v>28</v>
      </c>
      <c r="F18" s="46">
        <v>13</v>
      </c>
      <c r="G18" s="34" t="s">
        <v>76</v>
      </c>
      <c r="H18" s="34" t="s">
        <v>76</v>
      </c>
      <c r="I18" s="34" t="s">
        <v>76</v>
      </c>
      <c r="J18" s="34"/>
      <c r="K18" s="34"/>
      <c r="L18" s="47"/>
      <c r="M18" s="34"/>
      <c r="N18" s="46">
        <f>COUNTA(Список35[[#This Row],[02.сен]:[25.дек]])</f>
        <v>3</v>
      </c>
      <c r="O18" s="46">
        <v>10</v>
      </c>
      <c r="P18" s="46"/>
      <c r="Q18" s="46"/>
      <c r="R18" s="46"/>
      <c r="S18" s="46">
        <f>Список35[[#This Row],[Лекции]]+Список35[[#This Row],[РК1]]+Список35[[#This Row],[РК2]]+Список35[[#This Row],[РК3]]+Список35[[#This Row],[ДЗ]]</f>
        <v>13</v>
      </c>
      <c r="T18" s="34" t="s">
        <v>76</v>
      </c>
      <c r="U18" s="34">
        <v>1</v>
      </c>
      <c r="V18" s="34"/>
      <c r="W18" s="34"/>
      <c r="X18" s="34"/>
      <c r="Y18" s="47"/>
      <c r="Z18" s="34"/>
      <c r="AA18" s="34"/>
      <c r="AB18" s="46">
        <f>COUNTA(Список35[[#This Row],[09.сен]:[30.дек]])</f>
        <v>2</v>
      </c>
      <c r="AC18" s="46">
        <f>COUNTIF(Список35[[#This Row],[09.сен]:[30.дек]],1)*AC$3</f>
        <v>8</v>
      </c>
      <c r="AD18" s="46">
        <f>COUNTIF(Список35[[#This Row],[09.сен]:[30.дек]],2)*AD$3</f>
        <v>0</v>
      </c>
      <c r="AE18" s="46">
        <f>COUNTIF(Список35[[#This Row],[09.сен]:[30.дек]],3)*AE$3</f>
        <v>0</v>
      </c>
      <c r="AF18" s="46">
        <f>COUNTIF(Список35[[#This Row],[09.сен]:[30.дек]],4)*AF$3</f>
        <v>0</v>
      </c>
      <c r="AG18" s="46">
        <f>SUM(Список35[[#This Row],[Лабы]:[Отч4]])</f>
        <v>10</v>
      </c>
      <c r="AH18" s="46">
        <f>Список35[[#This Row],[Теория]]+Список35[[#This Row],[Практика]]</f>
        <v>23</v>
      </c>
      <c r="AI18" s="51" t="s">
        <v>201</v>
      </c>
    </row>
    <row r="19" spans="2:35" x14ac:dyDescent="0.25">
      <c r="B19" s="46">
        <v>14</v>
      </c>
      <c r="C19" s="46" t="s">
        <v>101</v>
      </c>
      <c r="D19" s="46" t="s">
        <v>135</v>
      </c>
      <c r="E19" s="46" t="s">
        <v>29</v>
      </c>
      <c r="F19" s="46">
        <v>14</v>
      </c>
      <c r="G19" s="34" t="s">
        <v>76</v>
      </c>
      <c r="H19" s="34"/>
      <c r="I19" s="34" t="s">
        <v>76</v>
      </c>
      <c r="J19" s="34"/>
      <c r="K19" s="34"/>
      <c r="L19" s="47"/>
      <c r="M19" s="34"/>
      <c r="N19" s="46">
        <f>COUNTA(Список35[[#This Row],[02.сен]:[25.дек]])</f>
        <v>2</v>
      </c>
      <c r="O19" s="46">
        <v>10</v>
      </c>
      <c r="P19" s="46"/>
      <c r="Q19" s="46"/>
      <c r="R19" s="46"/>
      <c r="S19" s="46">
        <f>Список35[[#This Row],[Лекции]]+Список35[[#This Row],[РК1]]+Список35[[#This Row],[РК2]]+Список35[[#This Row],[РК3]]+Список35[[#This Row],[ДЗ]]</f>
        <v>12</v>
      </c>
      <c r="T19" s="34" t="s">
        <v>76</v>
      </c>
      <c r="U19" s="34" t="s">
        <v>76</v>
      </c>
      <c r="V19" s="34"/>
      <c r="W19" s="34"/>
      <c r="X19" s="34"/>
      <c r="Y19" s="47"/>
      <c r="Z19" s="34"/>
      <c r="AA19" s="34"/>
      <c r="AB19" s="46">
        <f>COUNTA(Список35[[#This Row],[09.сен]:[30.дек]])</f>
        <v>2</v>
      </c>
      <c r="AC19" s="46">
        <f>COUNTIF(Список35[[#This Row],[09.сен]:[30.дек]],1)*AC$3</f>
        <v>0</v>
      </c>
      <c r="AD19" s="46">
        <f>COUNTIF(Список35[[#This Row],[09.сен]:[30.дек]],2)*AD$3</f>
        <v>0</v>
      </c>
      <c r="AE19" s="46">
        <f>COUNTIF(Список35[[#This Row],[09.сен]:[30.дек]],3)*AE$3</f>
        <v>0</v>
      </c>
      <c r="AF19" s="46">
        <f>COUNTIF(Список35[[#This Row],[09.сен]:[30.дек]],4)*AF$3</f>
        <v>0</v>
      </c>
      <c r="AG19" s="46">
        <f>SUM(Список35[[#This Row],[Лабы]:[Отч4]])</f>
        <v>2</v>
      </c>
      <c r="AH19" s="46">
        <f>Список35[[#This Row],[Теория]]+Список35[[#This Row],[Практика]]</f>
        <v>14</v>
      </c>
      <c r="AI19" s="44" t="s">
        <v>200</v>
      </c>
    </row>
    <row r="20" spans="2:35" x14ac:dyDescent="0.25">
      <c r="B20" s="46">
        <v>15</v>
      </c>
      <c r="C20" s="46" t="s">
        <v>102</v>
      </c>
      <c r="D20" s="46" t="s">
        <v>42</v>
      </c>
      <c r="E20" s="46" t="s">
        <v>29</v>
      </c>
      <c r="F20" s="46">
        <v>15</v>
      </c>
      <c r="G20" s="34" t="s">
        <v>76</v>
      </c>
      <c r="H20" s="34"/>
      <c r="I20" s="34" t="s">
        <v>76</v>
      </c>
      <c r="J20" s="34"/>
      <c r="K20" s="34"/>
      <c r="L20" s="47"/>
      <c r="M20" s="34"/>
      <c r="N20" s="46">
        <f>COUNTA(Список35[[#This Row],[02.сен]:[25.дек]])</f>
        <v>2</v>
      </c>
      <c r="O20" s="46">
        <v>10</v>
      </c>
      <c r="P20" s="46"/>
      <c r="Q20" s="46"/>
      <c r="R20" s="46"/>
      <c r="S20" s="46">
        <f>Список35[[#This Row],[Лекции]]+Список35[[#This Row],[РК1]]+Список35[[#This Row],[РК2]]+Список35[[#This Row],[РК3]]+Список35[[#This Row],[ДЗ]]</f>
        <v>12</v>
      </c>
      <c r="T20" s="34" t="s">
        <v>76</v>
      </c>
      <c r="U20" s="34">
        <v>1</v>
      </c>
      <c r="V20" s="34"/>
      <c r="W20" s="34"/>
      <c r="X20" s="34"/>
      <c r="Y20" s="47"/>
      <c r="Z20" s="34"/>
      <c r="AA20" s="34"/>
      <c r="AB20" s="46">
        <f>COUNTA(Список35[[#This Row],[09.сен]:[30.дек]])</f>
        <v>2</v>
      </c>
      <c r="AC20" s="46">
        <f>COUNTIF(Список35[[#This Row],[09.сен]:[30.дек]],1)*AC$3</f>
        <v>8</v>
      </c>
      <c r="AD20" s="46">
        <f>COUNTIF(Список35[[#This Row],[09.сен]:[30.дек]],2)*AD$3</f>
        <v>0</v>
      </c>
      <c r="AE20" s="46">
        <f>COUNTIF(Список35[[#This Row],[09.сен]:[30.дек]],3)*AE$3</f>
        <v>0</v>
      </c>
      <c r="AF20" s="46">
        <f>COUNTIF(Список35[[#This Row],[09.сен]:[30.дек]],4)*AF$3</f>
        <v>0</v>
      </c>
      <c r="AG20" s="46">
        <f>SUM(Список35[[#This Row],[Лабы]:[Отч4]])</f>
        <v>10</v>
      </c>
      <c r="AH20" s="46">
        <f>Список35[[#This Row],[Теория]]+Список35[[#This Row],[Практика]]</f>
        <v>22</v>
      </c>
      <c r="AI20" s="44"/>
    </row>
    <row r="21" spans="2:35" x14ac:dyDescent="0.25">
      <c r="B21" s="46">
        <v>16</v>
      </c>
      <c r="C21" s="46" t="s">
        <v>103</v>
      </c>
      <c r="D21" s="46" t="s">
        <v>136</v>
      </c>
      <c r="E21" s="46" t="s">
        <v>28</v>
      </c>
      <c r="F21" s="46">
        <v>13</v>
      </c>
      <c r="G21" s="34" t="s">
        <v>76</v>
      </c>
      <c r="H21" s="47"/>
      <c r="I21" s="34" t="s">
        <v>76</v>
      </c>
      <c r="J21" s="34"/>
      <c r="K21" s="34"/>
      <c r="L21" s="34"/>
      <c r="M21" s="34"/>
      <c r="N21" s="46">
        <f>COUNTA(Список35[[#This Row],[02.сен]:[25.дек]])</f>
        <v>2</v>
      </c>
      <c r="O21" s="46">
        <v>10</v>
      </c>
      <c r="P21" s="46"/>
      <c r="Q21" s="46"/>
      <c r="R21" s="46"/>
      <c r="S21" s="46">
        <f>Список35[[#This Row],[Лекции]]+Список35[[#This Row],[РК1]]+Список35[[#This Row],[РК2]]+Список35[[#This Row],[РК3]]+Список35[[#This Row],[ДЗ]]</f>
        <v>12</v>
      </c>
      <c r="T21" s="34" t="s">
        <v>76</v>
      </c>
      <c r="U21" s="47">
        <v>1</v>
      </c>
      <c r="V21" s="34"/>
      <c r="W21" s="34"/>
      <c r="X21" s="34"/>
      <c r="Y21" s="34"/>
      <c r="Z21" s="34"/>
      <c r="AA21" s="34"/>
      <c r="AB21" s="46">
        <f>COUNTA(Список35[[#This Row],[09.сен]:[30.дек]])</f>
        <v>2</v>
      </c>
      <c r="AC21" s="46">
        <f>COUNTIF(Список35[[#This Row],[09.сен]:[30.дек]],1)*AC$3</f>
        <v>8</v>
      </c>
      <c r="AD21" s="46">
        <f>COUNTIF(Список35[[#This Row],[09.сен]:[30.дек]],2)*AD$3</f>
        <v>0</v>
      </c>
      <c r="AE21" s="46">
        <f>COUNTIF(Список35[[#This Row],[09.сен]:[30.дек]],3)*AE$3</f>
        <v>0</v>
      </c>
      <c r="AF21" s="46">
        <f>COUNTIF(Список35[[#This Row],[09.сен]:[30.дек]],4)*AF$3</f>
        <v>0</v>
      </c>
      <c r="AG21" s="46">
        <f>SUM(Список35[[#This Row],[Лабы]:[Отч4]])</f>
        <v>10</v>
      </c>
      <c r="AH21" s="46">
        <f>Список35[[#This Row],[Теория]]+Список35[[#This Row],[Практика]]</f>
        <v>22</v>
      </c>
      <c r="AI21" s="44"/>
    </row>
    <row r="22" spans="2:35" x14ac:dyDescent="0.25">
      <c r="B22" s="46">
        <v>17</v>
      </c>
      <c r="C22" s="46" t="s">
        <v>104</v>
      </c>
      <c r="D22" s="46" t="s">
        <v>137</v>
      </c>
      <c r="E22" s="46" t="s">
        <v>29</v>
      </c>
      <c r="F22" s="46">
        <v>15</v>
      </c>
      <c r="G22" s="34" t="s">
        <v>76</v>
      </c>
      <c r="H22" s="47"/>
      <c r="I22" s="47" t="s">
        <v>76</v>
      </c>
      <c r="J22" s="46"/>
      <c r="K22" s="34"/>
      <c r="L22" s="47"/>
      <c r="M22" s="34"/>
      <c r="N22" s="46">
        <f>COUNTA(Список35[[#This Row],[02.сен]:[25.дек]])</f>
        <v>2</v>
      </c>
      <c r="O22" s="46">
        <v>9</v>
      </c>
      <c r="P22" s="46"/>
      <c r="Q22" s="46"/>
      <c r="R22" s="46"/>
      <c r="S22" s="46">
        <f>Список35[[#This Row],[Лекции]]+Список35[[#This Row],[РК1]]+Список35[[#This Row],[РК2]]+Список35[[#This Row],[РК3]]+Список35[[#This Row],[ДЗ]]</f>
        <v>11</v>
      </c>
      <c r="T22" s="34" t="s">
        <v>76</v>
      </c>
      <c r="U22" s="47">
        <v>1</v>
      </c>
      <c r="V22" s="47"/>
      <c r="W22" s="34"/>
      <c r="X22" s="34"/>
      <c r="Y22" s="47"/>
      <c r="Z22" s="34"/>
      <c r="AA22" s="34"/>
      <c r="AB22" s="46">
        <f>COUNTA(Список35[[#This Row],[09.сен]:[30.дек]])</f>
        <v>2</v>
      </c>
      <c r="AC22" s="46">
        <f>COUNTIF(Список35[[#This Row],[09.сен]:[30.дек]],1)*AC$3</f>
        <v>8</v>
      </c>
      <c r="AD22" s="46">
        <f>COUNTIF(Список35[[#This Row],[09.сен]:[30.дек]],2)*AD$3</f>
        <v>0</v>
      </c>
      <c r="AE22" s="46">
        <f>COUNTIF(Список35[[#This Row],[09.сен]:[30.дек]],3)*AE$3</f>
        <v>0</v>
      </c>
      <c r="AF22" s="46">
        <f>COUNTIF(Список35[[#This Row],[09.сен]:[30.дек]],4)*AF$3</f>
        <v>0</v>
      </c>
      <c r="AG22" s="46">
        <f>SUM(Список35[[#This Row],[Лабы]:[Отч4]])</f>
        <v>10</v>
      </c>
      <c r="AH22" s="46">
        <f>Список35[[#This Row],[Теория]]+Список35[[#This Row],[Практика]]</f>
        <v>21</v>
      </c>
      <c r="AI22" s="44"/>
    </row>
    <row r="23" spans="2:35" x14ac:dyDescent="0.25">
      <c r="B23" s="46">
        <v>18</v>
      </c>
      <c r="C23" s="46" t="s">
        <v>105</v>
      </c>
      <c r="D23" s="46" t="s">
        <v>138</v>
      </c>
      <c r="E23" s="46" t="s">
        <v>28</v>
      </c>
      <c r="F23" s="46">
        <v>18</v>
      </c>
      <c r="G23" s="34" t="s">
        <v>76</v>
      </c>
      <c r="H23" s="47" t="s">
        <v>76</v>
      </c>
      <c r="I23" s="47" t="s">
        <v>76</v>
      </c>
      <c r="J23" s="46"/>
      <c r="K23" s="34"/>
      <c r="L23" s="47"/>
      <c r="M23" s="34"/>
      <c r="N23" s="46">
        <f>COUNTA(Список35[[#This Row],[02.сен]:[25.дек]])</f>
        <v>3</v>
      </c>
      <c r="O23" s="46">
        <v>9</v>
      </c>
      <c r="P23" s="46"/>
      <c r="Q23" s="46"/>
      <c r="R23" s="46"/>
      <c r="S23" s="46">
        <f>Список35[[#This Row],[Лекции]]+Список35[[#This Row],[РК1]]+Список35[[#This Row],[РК2]]+Список35[[#This Row],[РК3]]+Список35[[#This Row],[ДЗ]]</f>
        <v>12</v>
      </c>
      <c r="T23" s="34" t="s">
        <v>76</v>
      </c>
      <c r="U23" s="47">
        <v>1</v>
      </c>
      <c r="V23" s="47"/>
      <c r="W23" s="34"/>
      <c r="X23" s="34"/>
      <c r="Y23" s="47"/>
      <c r="Z23" s="34"/>
      <c r="AA23" s="34"/>
      <c r="AB23" s="46">
        <f>COUNTA(Список35[[#This Row],[09.сен]:[30.дек]])</f>
        <v>2</v>
      </c>
      <c r="AC23" s="46">
        <f>COUNTIF(Список35[[#This Row],[09.сен]:[30.дек]],1)*AC$3</f>
        <v>8</v>
      </c>
      <c r="AD23" s="46">
        <f>COUNTIF(Список35[[#This Row],[09.сен]:[30.дек]],2)*AD$3</f>
        <v>0</v>
      </c>
      <c r="AE23" s="46">
        <f>COUNTIF(Список35[[#This Row],[09.сен]:[30.дек]],3)*AE$3</f>
        <v>0</v>
      </c>
      <c r="AF23" s="46">
        <f>COUNTIF(Список35[[#This Row],[09.сен]:[30.дек]],4)*AF$3</f>
        <v>0</v>
      </c>
      <c r="AG23" s="46">
        <f>SUM(Список35[[#This Row],[Лабы]:[Отч4]])</f>
        <v>10</v>
      </c>
      <c r="AH23" s="46">
        <f>Список35[[#This Row],[Теория]]+Список35[[#This Row],[Практика]]</f>
        <v>22</v>
      </c>
      <c r="AI23" s="44"/>
    </row>
    <row r="24" spans="2:35" x14ac:dyDescent="0.25">
      <c r="B24" s="46">
        <v>19</v>
      </c>
      <c r="C24" s="46" t="s">
        <v>106</v>
      </c>
      <c r="D24" s="46" t="s">
        <v>129</v>
      </c>
      <c r="E24" s="46" t="s">
        <v>28</v>
      </c>
      <c r="F24" s="46">
        <v>19</v>
      </c>
      <c r="G24" s="34" t="s">
        <v>76</v>
      </c>
      <c r="H24" s="47" t="s">
        <v>76</v>
      </c>
      <c r="I24" s="47" t="s">
        <v>76</v>
      </c>
      <c r="J24" s="46"/>
      <c r="K24" s="34"/>
      <c r="L24" s="47"/>
      <c r="M24" s="34"/>
      <c r="N24" s="46">
        <f>COUNTA(Список35[[#This Row],[02.сен]:[25.дек]])</f>
        <v>3</v>
      </c>
      <c r="O24" s="46">
        <v>10</v>
      </c>
      <c r="P24" s="46"/>
      <c r="Q24" s="46"/>
      <c r="R24" s="46"/>
      <c r="S24" s="46">
        <f>Список35[[#This Row],[Лекции]]+Список35[[#This Row],[РК1]]+Список35[[#This Row],[РК2]]+Список35[[#This Row],[РК3]]+Список35[[#This Row],[ДЗ]]</f>
        <v>13</v>
      </c>
      <c r="T24" s="34" t="s">
        <v>76</v>
      </c>
      <c r="U24" s="47">
        <v>1</v>
      </c>
      <c r="V24" s="47"/>
      <c r="W24" s="34"/>
      <c r="X24" s="34"/>
      <c r="Y24" s="47"/>
      <c r="Z24" s="34"/>
      <c r="AA24" s="34"/>
      <c r="AB24" s="46">
        <f>COUNTA(Список35[[#This Row],[09.сен]:[30.дек]])</f>
        <v>2</v>
      </c>
      <c r="AC24" s="46">
        <f>COUNTIF(Список35[[#This Row],[09.сен]:[30.дек]],1)*AC$3</f>
        <v>8</v>
      </c>
      <c r="AD24" s="46">
        <f>COUNTIF(Список35[[#This Row],[09.сен]:[30.дек]],2)*AD$3</f>
        <v>0</v>
      </c>
      <c r="AE24" s="46">
        <f>COUNTIF(Список35[[#This Row],[09.сен]:[30.дек]],3)*AE$3</f>
        <v>0</v>
      </c>
      <c r="AF24" s="46">
        <f>COUNTIF(Список35[[#This Row],[09.сен]:[30.дек]],4)*AF$3</f>
        <v>0</v>
      </c>
      <c r="AG24" s="46">
        <f>SUM(Список35[[#This Row],[Лабы]:[Отч4]])</f>
        <v>10</v>
      </c>
      <c r="AH24" s="46">
        <f>Список35[[#This Row],[Теория]]+Список35[[#This Row],[Практика]]</f>
        <v>23</v>
      </c>
      <c r="AI24" s="44"/>
    </row>
    <row r="25" spans="2:35" x14ac:dyDescent="0.25">
      <c r="B25" s="46">
        <v>20</v>
      </c>
      <c r="C25" s="46" t="s">
        <v>107</v>
      </c>
      <c r="D25" s="46" t="s">
        <v>139</v>
      </c>
      <c r="E25" s="46" t="s">
        <v>29</v>
      </c>
      <c r="F25" s="46">
        <v>16</v>
      </c>
      <c r="G25" s="34" t="s">
        <v>76</v>
      </c>
      <c r="H25" s="34"/>
      <c r="I25" s="34" t="s">
        <v>76</v>
      </c>
      <c r="J25" s="34"/>
      <c r="K25" s="34"/>
      <c r="L25" s="47"/>
      <c r="M25" s="34"/>
      <c r="N25" s="46">
        <f>COUNTA(Список35[[#This Row],[02.сен]:[25.дек]])</f>
        <v>2</v>
      </c>
      <c r="O25" s="46">
        <v>10</v>
      </c>
      <c r="P25" s="46"/>
      <c r="Q25" s="46"/>
      <c r="R25" s="46"/>
      <c r="S25" s="46">
        <f>Список35[[#This Row],[Лекции]]+Список35[[#This Row],[РК1]]+Список35[[#This Row],[РК2]]+Список35[[#This Row],[РК3]]+Список35[[#This Row],[ДЗ]]</f>
        <v>12</v>
      </c>
      <c r="T25" s="34" t="s">
        <v>76</v>
      </c>
      <c r="U25" s="34" t="s">
        <v>76</v>
      </c>
      <c r="V25" s="34"/>
      <c r="W25" s="34"/>
      <c r="X25" s="34"/>
      <c r="Y25" s="47"/>
      <c r="Z25" s="34"/>
      <c r="AA25" s="34"/>
      <c r="AB25" s="46">
        <f>COUNTA(Список35[[#This Row],[09.сен]:[30.дек]])</f>
        <v>2</v>
      </c>
      <c r="AC25" s="46">
        <f>COUNTIF(Список35[[#This Row],[09.сен]:[30.дек]],1)*AC$3</f>
        <v>0</v>
      </c>
      <c r="AD25" s="46">
        <f>COUNTIF(Список35[[#This Row],[09.сен]:[30.дек]],2)*AD$3</f>
        <v>0</v>
      </c>
      <c r="AE25" s="46">
        <f>COUNTIF(Список35[[#This Row],[09.сен]:[30.дек]],3)*AE$3</f>
        <v>0</v>
      </c>
      <c r="AF25" s="46">
        <f>COUNTIF(Список35[[#This Row],[09.сен]:[30.дек]],4)*AF$3</f>
        <v>0</v>
      </c>
      <c r="AG25" s="46">
        <f>SUM(Список35[[#This Row],[Лабы]:[Отч4]])</f>
        <v>2</v>
      </c>
      <c r="AH25" s="46">
        <f>Список35[[#This Row],[Теория]]+Список35[[#This Row],[Практика]]</f>
        <v>14</v>
      </c>
      <c r="AI25" s="44"/>
    </row>
    <row r="26" spans="2:35" x14ac:dyDescent="0.25">
      <c r="B26" s="46">
        <v>21</v>
      </c>
      <c r="C26" s="46" t="s">
        <v>108</v>
      </c>
      <c r="D26" s="46" t="s">
        <v>40</v>
      </c>
      <c r="E26" s="46" t="s">
        <v>29</v>
      </c>
      <c r="F26" s="46">
        <v>14</v>
      </c>
      <c r="G26" s="34" t="s">
        <v>76</v>
      </c>
      <c r="H26" s="34"/>
      <c r="I26" s="47" t="s">
        <v>76</v>
      </c>
      <c r="J26" s="34"/>
      <c r="K26" s="34"/>
      <c r="L26" s="34"/>
      <c r="M26" s="34"/>
      <c r="N26" s="46">
        <f>COUNTA(Список35[[#This Row],[02.сен]:[25.дек]])</f>
        <v>2</v>
      </c>
      <c r="O26" s="46">
        <v>10</v>
      </c>
      <c r="P26" s="46"/>
      <c r="Q26" s="46"/>
      <c r="R26" s="46"/>
      <c r="S26" s="46">
        <f>Список35[[#This Row],[Лекции]]+Список35[[#This Row],[РК1]]+Список35[[#This Row],[РК2]]+Список35[[#This Row],[РК3]]+Список35[[#This Row],[ДЗ]]</f>
        <v>12</v>
      </c>
      <c r="T26" s="34" t="s">
        <v>76</v>
      </c>
      <c r="U26" s="34"/>
      <c r="V26" s="47"/>
      <c r="W26" s="34"/>
      <c r="X26" s="34"/>
      <c r="Y26" s="34"/>
      <c r="Z26" s="34"/>
      <c r="AA26" s="34"/>
      <c r="AB26" s="46">
        <f>COUNTA(Список35[[#This Row],[09.сен]:[30.дек]])</f>
        <v>1</v>
      </c>
      <c r="AC26" s="46">
        <f>COUNTIF(Список35[[#This Row],[09.сен]:[30.дек]],1)*AC$3</f>
        <v>0</v>
      </c>
      <c r="AD26" s="46">
        <f>COUNTIF(Список35[[#This Row],[09.сен]:[30.дек]],2)*AD$3</f>
        <v>0</v>
      </c>
      <c r="AE26" s="46">
        <f>COUNTIF(Список35[[#This Row],[09.сен]:[30.дек]],3)*AE$3</f>
        <v>0</v>
      </c>
      <c r="AF26" s="46">
        <f>COUNTIF(Список35[[#This Row],[09.сен]:[30.дек]],4)*AF$3</f>
        <v>0</v>
      </c>
      <c r="AG26" s="46">
        <f>SUM(Список35[[#This Row],[Лабы]:[Отч4]])</f>
        <v>1</v>
      </c>
      <c r="AH26" s="46">
        <f>Список35[[#This Row],[Теория]]+Список35[[#This Row],[Практика]]</f>
        <v>13</v>
      </c>
      <c r="AI26" s="51" t="s">
        <v>199</v>
      </c>
    </row>
    <row r="27" spans="2:35" x14ac:dyDescent="0.25">
      <c r="B27" s="46">
        <v>22</v>
      </c>
      <c r="C27" s="46" t="s">
        <v>109</v>
      </c>
      <c r="D27" s="46" t="s">
        <v>140</v>
      </c>
      <c r="E27" s="46" t="s">
        <v>28</v>
      </c>
      <c r="F27" s="46">
        <v>3</v>
      </c>
      <c r="G27" s="34" t="s">
        <v>76</v>
      </c>
      <c r="H27" s="47" t="s">
        <v>76</v>
      </c>
      <c r="I27" s="34" t="s">
        <v>76</v>
      </c>
      <c r="J27" s="34"/>
      <c r="K27" s="34"/>
      <c r="L27" s="34"/>
      <c r="M27" s="34"/>
      <c r="N27" s="46">
        <f>COUNTA(Список35[[#This Row],[02.сен]:[25.дек]])</f>
        <v>3</v>
      </c>
      <c r="O27" s="46">
        <v>10</v>
      </c>
      <c r="P27" s="46"/>
      <c r="Q27" s="46"/>
      <c r="R27" s="46"/>
      <c r="S27" s="46">
        <f>Список35[[#This Row],[Лекции]]+Список35[[#This Row],[РК1]]+Список35[[#This Row],[РК2]]+Список35[[#This Row],[РК3]]+Список35[[#This Row],[ДЗ]]</f>
        <v>13</v>
      </c>
      <c r="T27" s="34" t="s">
        <v>76</v>
      </c>
      <c r="U27" s="47">
        <v>1</v>
      </c>
      <c r="V27" s="34"/>
      <c r="W27" s="34"/>
      <c r="X27" s="34"/>
      <c r="Y27" s="34"/>
      <c r="Z27" s="34"/>
      <c r="AA27" s="34"/>
      <c r="AB27" s="46">
        <f>COUNTA(Список35[[#This Row],[09.сен]:[30.дек]])</f>
        <v>2</v>
      </c>
      <c r="AC27" s="46">
        <f>COUNTIF(Список35[[#This Row],[09.сен]:[30.дек]],1)*AC$3</f>
        <v>8</v>
      </c>
      <c r="AD27" s="46">
        <f>COUNTIF(Список35[[#This Row],[09.сен]:[30.дек]],2)*AD$3</f>
        <v>0</v>
      </c>
      <c r="AE27" s="46">
        <f>COUNTIF(Список35[[#This Row],[09.сен]:[30.дек]],3)*AE$3</f>
        <v>0</v>
      </c>
      <c r="AF27" s="46">
        <f>COUNTIF(Список35[[#This Row],[09.сен]:[30.дек]],4)*AF$3</f>
        <v>0</v>
      </c>
      <c r="AG27" s="46">
        <f>SUM(Список35[[#This Row],[Лабы]:[Отч4]])</f>
        <v>10</v>
      </c>
      <c r="AH27" s="46">
        <f>Список35[[#This Row],[Теория]]+Список35[[#This Row],[Практика]]</f>
        <v>23</v>
      </c>
      <c r="AI27" s="44"/>
    </row>
    <row r="28" spans="2:35" x14ac:dyDescent="0.25">
      <c r="B28" s="46">
        <v>23</v>
      </c>
      <c r="C28" s="46" t="s">
        <v>110</v>
      </c>
      <c r="D28" s="46" t="s">
        <v>46</v>
      </c>
      <c r="E28" s="46" t="s">
        <v>29</v>
      </c>
      <c r="F28" s="46">
        <v>16</v>
      </c>
      <c r="G28" s="34" t="s">
        <v>76</v>
      </c>
      <c r="H28" s="34" t="s">
        <v>76</v>
      </c>
      <c r="I28" s="47" t="s">
        <v>76</v>
      </c>
      <c r="J28" s="46"/>
      <c r="K28" s="34"/>
      <c r="L28" s="34"/>
      <c r="M28" s="34"/>
      <c r="N28" s="46">
        <f>COUNTA(Список35[[#This Row],[02.сен]:[25.дек]])</f>
        <v>3</v>
      </c>
      <c r="O28" s="46">
        <v>10</v>
      </c>
      <c r="P28" s="46"/>
      <c r="Q28" s="46"/>
      <c r="R28" s="46"/>
      <c r="S28" s="46">
        <f>Список35[[#This Row],[Лекции]]+Список35[[#This Row],[РК1]]+Список35[[#This Row],[РК2]]+Список35[[#This Row],[РК3]]+Список35[[#This Row],[ДЗ]]</f>
        <v>13</v>
      </c>
      <c r="T28" s="34" t="s">
        <v>76</v>
      </c>
      <c r="U28" s="34" t="s">
        <v>76</v>
      </c>
      <c r="V28" s="47"/>
      <c r="W28" s="34"/>
      <c r="X28" s="34"/>
      <c r="Y28" s="34"/>
      <c r="Z28" s="34"/>
      <c r="AA28" s="34"/>
      <c r="AB28" s="46">
        <f>COUNTA(Список35[[#This Row],[09.сен]:[30.дек]])</f>
        <v>2</v>
      </c>
      <c r="AC28" s="46">
        <f>COUNTIF(Список35[[#This Row],[09.сен]:[30.дек]],1)*AC$3</f>
        <v>0</v>
      </c>
      <c r="AD28" s="46">
        <f>COUNTIF(Список35[[#This Row],[09.сен]:[30.дек]],2)*AD$3</f>
        <v>0</v>
      </c>
      <c r="AE28" s="46">
        <f>COUNTIF(Список35[[#This Row],[09.сен]:[30.дек]],3)*AE$3</f>
        <v>0</v>
      </c>
      <c r="AF28" s="46">
        <f>COUNTIF(Список35[[#This Row],[09.сен]:[30.дек]],4)*AF$3</f>
        <v>0</v>
      </c>
      <c r="AG28" s="46">
        <f>SUM(Список35[[#This Row],[Лабы]:[Отч4]])</f>
        <v>2</v>
      </c>
      <c r="AH28" s="46">
        <f>Список35[[#This Row],[Теория]]+Список35[[#This Row],[Практика]]</f>
        <v>15</v>
      </c>
      <c r="AI28" s="51" t="s">
        <v>206</v>
      </c>
    </row>
    <row r="29" spans="2:35" x14ac:dyDescent="0.25">
      <c r="B29" s="46">
        <v>24</v>
      </c>
      <c r="C29" s="46" t="s">
        <v>111</v>
      </c>
      <c r="D29" s="46" t="s">
        <v>35</v>
      </c>
      <c r="E29" s="46" t="s">
        <v>29</v>
      </c>
      <c r="F29" s="46">
        <v>21</v>
      </c>
      <c r="G29" s="34" t="s">
        <v>76</v>
      </c>
      <c r="H29" s="46"/>
      <c r="I29" s="47" t="s">
        <v>76</v>
      </c>
      <c r="J29" s="34"/>
      <c r="K29" s="34"/>
      <c r="L29" s="34"/>
      <c r="M29" s="34"/>
      <c r="N29" s="46">
        <f>COUNTA(Список35[[#This Row],[02.сен]:[25.дек]])</f>
        <v>2</v>
      </c>
      <c r="O29" s="46">
        <v>10</v>
      </c>
      <c r="P29" s="46"/>
      <c r="Q29" s="46"/>
      <c r="R29" s="46"/>
      <c r="S29" s="46">
        <f>Список35[[#This Row],[Лекции]]+Список35[[#This Row],[РК1]]+Список35[[#This Row],[РК2]]+Список35[[#This Row],[РК3]]+Список35[[#This Row],[ДЗ]]</f>
        <v>12</v>
      </c>
      <c r="T29" s="34" t="s">
        <v>76</v>
      </c>
      <c r="U29" s="34"/>
      <c r="V29" s="47"/>
      <c r="W29" s="34"/>
      <c r="X29" s="34"/>
      <c r="Y29" s="34"/>
      <c r="Z29" s="34"/>
      <c r="AA29" s="34"/>
      <c r="AB29" s="46">
        <f>COUNTA(Список35[[#This Row],[09.сен]:[30.дек]])</f>
        <v>1</v>
      </c>
      <c r="AC29" s="46">
        <f>COUNTIF(Список35[[#This Row],[09.сен]:[30.дек]],1)*AC$3</f>
        <v>0</v>
      </c>
      <c r="AD29" s="46">
        <f>COUNTIF(Список35[[#This Row],[09.сен]:[30.дек]],2)*AD$3</f>
        <v>0</v>
      </c>
      <c r="AE29" s="46">
        <f>COUNTIF(Список35[[#This Row],[09.сен]:[30.дек]],3)*AE$3</f>
        <v>0</v>
      </c>
      <c r="AF29" s="46">
        <f>COUNTIF(Список35[[#This Row],[09.сен]:[30.дек]],4)*AF$3</f>
        <v>0</v>
      </c>
      <c r="AG29" s="46">
        <f>SUM(Список35[[#This Row],[Лабы]:[Отч4]])</f>
        <v>1</v>
      </c>
      <c r="AH29" s="46">
        <f>Список35[[#This Row],[Теория]]+Список35[[#This Row],[Практика]]</f>
        <v>13</v>
      </c>
      <c r="AI29" s="44"/>
    </row>
    <row r="30" spans="2:35" x14ac:dyDescent="0.25">
      <c r="B30" s="46">
        <v>25</v>
      </c>
      <c r="C30" s="46" t="s">
        <v>112</v>
      </c>
      <c r="D30" s="46" t="s">
        <v>129</v>
      </c>
      <c r="E30" s="46" t="s">
        <v>28</v>
      </c>
      <c r="F30" s="46">
        <v>6</v>
      </c>
      <c r="G30" s="34" t="s">
        <v>76</v>
      </c>
      <c r="H30" s="34" t="s">
        <v>76</v>
      </c>
      <c r="I30" s="47" t="s">
        <v>76</v>
      </c>
      <c r="J30" s="34"/>
      <c r="K30" s="34"/>
      <c r="L30" s="47"/>
      <c r="M30" s="34"/>
      <c r="N30" s="46">
        <f>COUNTA(Список35[[#This Row],[02.сен]:[25.дек]])</f>
        <v>3</v>
      </c>
      <c r="O30" s="46">
        <v>10</v>
      </c>
      <c r="P30" s="46"/>
      <c r="Q30" s="46"/>
      <c r="R30" s="46"/>
      <c r="S30" s="46">
        <f>Список35[[#This Row],[Лекции]]+Список35[[#This Row],[РК1]]+Список35[[#This Row],[РК2]]+Список35[[#This Row],[РК3]]+Список35[[#This Row],[ДЗ]]</f>
        <v>13</v>
      </c>
      <c r="T30" s="34" t="s">
        <v>76</v>
      </c>
      <c r="U30" s="34" t="s">
        <v>184</v>
      </c>
      <c r="V30" s="34"/>
      <c r="W30" s="34"/>
      <c r="X30" s="34"/>
      <c r="Y30" s="47"/>
      <c r="Z30" s="34"/>
      <c r="AA30" s="34"/>
      <c r="AB30" s="46">
        <f>COUNTA(Список35[[#This Row],[09.сен]:[30.дек]])</f>
        <v>2</v>
      </c>
      <c r="AC30" s="46">
        <f>COUNTIF(Список35[[#This Row],[09.сен]:[30.дек]],1)*AC$3</f>
        <v>0</v>
      </c>
      <c r="AD30" s="46">
        <f>COUNTIF(Список35[[#This Row],[09.сен]:[30.дек]],2)*AD$3</f>
        <v>0</v>
      </c>
      <c r="AE30" s="46">
        <f>COUNTIF(Список35[[#This Row],[09.сен]:[30.дек]],3)*AE$3</f>
        <v>0</v>
      </c>
      <c r="AF30" s="46">
        <f>COUNTIF(Список35[[#This Row],[09.сен]:[30.дек]],4)*AF$3</f>
        <v>0</v>
      </c>
      <c r="AG30" s="46">
        <f>SUM(Список35[[#This Row],[Лабы]:[Отч4]])</f>
        <v>2</v>
      </c>
      <c r="AH30" s="46">
        <f>Список35[[#This Row],[Теория]]+Список35[[#This Row],[Практика]]</f>
        <v>15</v>
      </c>
      <c r="AI30" s="44" t="s">
        <v>205</v>
      </c>
    </row>
    <row r="31" spans="2:35" x14ac:dyDescent="0.25">
      <c r="B31" s="46">
        <v>26</v>
      </c>
      <c r="C31" s="46" t="s">
        <v>113</v>
      </c>
      <c r="D31" s="46" t="s">
        <v>45</v>
      </c>
      <c r="E31" s="46" t="s">
        <v>29</v>
      </c>
      <c r="F31" s="46">
        <v>9</v>
      </c>
      <c r="G31" s="34" t="s">
        <v>76</v>
      </c>
      <c r="H31" s="34"/>
      <c r="I31" s="47" t="s">
        <v>76</v>
      </c>
      <c r="J31" s="34"/>
      <c r="K31" s="34"/>
      <c r="L31" s="34"/>
      <c r="M31" s="34"/>
      <c r="N31" s="46">
        <f>COUNTA(Список35[[#This Row],[02.сен]:[25.дек]])</f>
        <v>2</v>
      </c>
      <c r="O31" s="46">
        <v>9</v>
      </c>
      <c r="P31" s="46"/>
      <c r="Q31" s="46"/>
      <c r="R31" s="46"/>
      <c r="S31" s="46">
        <f>Список35[[#This Row],[Лекции]]+Список35[[#This Row],[РК1]]+Список35[[#This Row],[РК2]]+Список35[[#This Row],[РК3]]+Список35[[#This Row],[ДЗ]]</f>
        <v>11</v>
      </c>
      <c r="T31" s="34" t="s">
        <v>76</v>
      </c>
      <c r="U31" s="34"/>
      <c r="V31" s="34"/>
      <c r="W31" s="34"/>
      <c r="X31" s="34"/>
      <c r="Y31" s="34"/>
      <c r="Z31" s="34"/>
      <c r="AA31" s="34"/>
      <c r="AB31" s="46">
        <f>COUNTA(Список35[[#This Row],[09.сен]:[30.дек]])</f>
        <v>1</v>
      </c>
      <c r="AC31" s="46">
        <f>COUNTIF(Список35[[#This Row],[09.сен]:[30.дек]],1)*AC$3</f>
        <v>0</v>
      </c>
      <c r="AD31" s="46">
        <f>COUNTIF(Список35[[#This Row],[09.сен]:[30.дек]],2)*AD$3</f>
        <v>0</v>
      </c>
      <c r="AE31" s="46">
        <f>COUNTIF(Список35[[#This Row],[09.сен]:[30.дек]],3)*AE$3</f>
        <v>0</v>
      </c>
      <c r="AF31" s="46">
        <f>COUNTIF(Список35[[#This Row],[09.сен]:[30.дек]],4)*AF$3</f>
        <v>0</v>
      </c>
      <c r="AG31" s="46">
        <f>SUM(Список35[[#This Row],[Лабы]:[Отч4]])</f>
        <v>1</v>
      </c>
      <c r="AH31" s="46">
        <f>Список35[[#This Row],[Теория]]+Список35[[#This Row],[Практика]]</f>
        <v>12</v>
      </c>
      <c r="AI31" s="51" t="s">
        <v>198</v>
      </c>
    </row>
    <row r="32" spans="2:35" ht="18" customHeight="1" x14ac:dyDescent="0.25">
      <c r="B32" s="46">
        <v>27</v>
      </c>
      <c r="C32" s="46" t="s">
        <v>116</v>
      </c>
      <c r="D32" s="46" t="s">
        <v>50</v>
      </c>
      <c r="E32" s="46" t="s">
        <v>28</v>
      </c>
      <c r="F32" s="46">
        <v>12</v>
      </c>
      <c r="G32" s="34" t="s">
        <v>76</v>
      </c>
      <c r="H32" s="34" t="s">
        <v>76</v>
      </c>
      <c r="I32" s="47" t="s">
        <v>76</v>
      </c>
      <c r="J32" s="34"/>
      <c r="K32" s="34"/>
      <c r="L32" s="34"/>
      <c r="M32" s="34"/>
      <c r="N32" s="46">
        <f>COUNTA(Список35[[#This Row],[02.сен]:[25.дек]])</f>
        <v>3</v>
      </c>
      <c r="O32" s="46">
        <v>10</v>
      </c>
      <c r="P32" s="46"/>
      <c r="Q32" s="46"/>
      <c r="R32" s="46"/>
      <c r="S32" s="46">
        <f>Список35[[#This Row],[Лекции]]+Список35[[#This Row],[РК1]]+Список35[[#This Row],[РК2]]+Список35[[#This Row],[РК3]]+Список35[[#This Row],[ДЗ]]</f>
        <v>13</v>
      </c>
      <c r="T32" s="34" t="s">
        <v>76</v>
      </c>
      <c r="U32" s="34">
        <v>1</v>
      </c>
      <c r="V32" s="34"/>
      <c r="W32" s="34"/>
      <c r="X32" s="34"/>
      <c r="Y32" s="34"/>
      <c r="Z32" s="34"/>
      <c r="AA32" s="34"/>
      <c r="AB32" s="46">
        <f>COUNTA(Список35[[#This Row],[09.сен]:[30.дек]])</f>
        <v>2</v>
      </c>
      <c r="AC32" s="46">
        <f>COUNTIF(Список35[[#This Row],[09.сен]:[30.дек]],1)*AC$3</f>
        <v>8</v>
      </c>
      <c r="AD32" s="46">
        <f>COUNTIF(Список35[[#This Row],[09.сен]:[30.дек]],2)*AD$3</f>
        <v>0</v>
      </c>
      <c r="AE32" s="46">
        <f>COUNTIF(Список35[[#This Row],[09.сен]:[30.дек]],3)*AE$3</f>
        <v>0</v>
      </c>
      <c r="AF32" s="46">
        <f>COUNTIF(Список35[[#This Row],[09.сен]:[30.дек]],4)*AF$3</f>
        <v>0</v>
      </c>
      <c r="AG32" s="46">
        <f>SUM(Список35[[#This Row],[Лабы]:[Отч4]])</f>
        <v>10</v>
      </c>
      <c r="AH32" s="46">
        <f>Список35[[#This Row],[Теория]]+Список35[[#This Row],[Практика]]</f>
        <v>23</v>
      </c>
      <c r="AI32" s="44" t="s">
        <v>209</v>
      </c>
    </row>
    <row r="33" spans="2:35" x14ac:dyDescent="0.25">
      <c r="B33" s="46">
        <v>28</v>
      </c>
      <c r="C33" s="46" t="s">
        <v>114</v>
      </c>
      <c r="D33" s="46" t="s">
        <v>141</v>
      </c>
      <c r="E33" s="46" t="s">
        <v>28</v>
      </c>
      <c r="F33" s="46">
        <v>1</v>
      </c>
      <c r="G33" s="34" t="s">
        <v>76</v>
      </c>
      <c r="H33" s="47" t="s">
        <v>76</v>
      </c>
      <c r="I33" s="47" t="s">
        <v>76</v>
      </c>
      <c r="J33" s="47"/>
      <c r="K33" s="34"/>
      <c r="L33" s="47"/>
      <c r="M33" s="34"/>
      <c r="N33" s="46">
        <f>COUNTA(Список35[[#This Row],[02.сен]:[25.дек]])</f>
        <v>3</v>
      </c>
      <c r="O33" s="46">
        <v>9</v>
      </c>
      <c r="P33" s="46"/>
      <c r="Q33" s="46"/>
      <c r="R33" s="46"/>
      <c r="S33" s="46">
        <f>Список35[[#This Row],[Лекции]]+Список35[[#This Row],[РК1]]+Список35[[#This Row],[РК2]]+Список35[[#This Row],[РК3]]+Список35[[#This Row],[ДЗ]]</f>
        <v>12</v>
      </c>
      <c r="T33" s="34" t="s">
        <v>76</v>
      </c>
      <c r="U33" s="47"/>
      <c r="V33" s="34"/>
      <c r="W33" s="47"/>
      <c r="X33" s="34"/>
      <c r="Y33" s="47"/>
      <c r="Z33" s="34"/>
      <c r="AA33" s="34"/>
      <c r="AB33" s="46">
        <f>COUNTA(Список35[[#This Row],[09.сен]:[30.дек]])</f>
        <v>1</v>
      </c>
      <c r="AC33" s="46">
        <f>COUNTIF(Список35[[#This Row],[09.сен]:[30.дек]],1)*AC$3</f>
        <v>0</v>
      </c>
      <c r="AD33" s="46">
        <f>COUNTIF(Список35[[#This Row],[09.сен]:[30.дек]],2)*AD$3</f>
        <v>0</v>
      </c>
      <c r="AE33" s="46">
        <f>COUNTIF(Список35[[#This Row],[09.сен]:[30.дек]],3)*AE$3</f>
        <v>0</v>
      </c>
      <c r="AF33" s="46">
        <f>COUNTIF(Список35[[#This Row],[09.сен]:[30.дек]],4)*AF$3</f>
        <v>0</v>
      </c>
      <c r="AG33" s="46">
        <f>SUM(Список35[[#This Row],[Лабы]:[Отч4]])</f>
        <v>1</v>
      </c>
      <c r="AH33" s="46">
        <f>Список35[[#This Row],[Теория]]+Список35[[#This Row],[Практика]]</f>
        <v>13</v>
      </c>
      <c r="AI33" s="44" t="s">
        <v>196</v>
      </c>
    </row>
    <row r="34" spans="2:35" x14ac:dyDescent="0.25">
      <c r="B34" s="46">
        <v>29</v>
      </c>
      <c r="C34" s="46" t="s">
        <v>115</v>
      </c>
      <c r="D34" s="46" t="s">
        <v>142</v>
      </c>
      <c r="E34" s="46" t="s">
        <v>28</v>
      </c>
      <c r="F34" s="46">
        <v>4</v>
      </c>
      <c r="G34" s="34" t="s">
        <v>76</v>
      </c>
      <c r="H34" s="47"/>
      <c r="I34" s="47" t="s">
        <v>76</v>
      </c>
      <c r="J34" s="47"/>
      <c r="K34" s="34"/>
      <c r="L34" s="47"/>
      <c r="M34" s="34"/>
      <c r="N34" s="46">
        <f>COUNTA(Список35[[#This Row],[02.сен]:[25.дек]])</f>
        <v>2</v>
      </c>
      <c r="O34" s="46">
        <v>9</v>
      </c>
      <c r="P34" s="46"/>
      <c r="Q34" s="46"/>
      <c r="R34" s="46"/>
      <c r="S34" s="46">
        <f>Список35[[#This Row],[Лекции]]+Список35[[#This Row],[РК1]]+Список35[[#This Row],[РК2]]+Список35[[#This Row],[РК3]]+Список35[[#This Row],[ДЗ]]</f>
        <v>11</v>
      </c>
      <c r="T34" s="34" t="s">
        <v>76</v>
      </c>
      <c r="U34" s="47"/>
      <c r="V34" s="34"/>
      <c r="W34" s="47"/>
      <c r="X34" s="34"/>
      <c r="Y34" s="47"/>
      <c r="Z34" s="34"/>
      <c r="AA34" s="34"/>
      <c r="AB34" s="46">
        <f>COUNTA(Список35[[#This Row],[09.сен]:[30.дек]])</f>
        <v>1</v>
      </c>
      <c r="AC34" s="46">
        <f>COUNTIF(Список35[[#This Row],[09.сен]:[30.дек]],1)*AC$3</f>
        <v>0</v>
      </c>
      <c r="AD34" s="46">
        <f>COUNTIF(Список35[[#This Row],[09.сен]:[30.дек]],2)*AD$3</f>
        <v>0</v>
      </c>
      <c r="AE34" s="46">
        <f>COUNTIF(Список35[[#This Row],[09.сен]:[30.дек]],3)*AE$3</f>
        <v>0</v>
      </c>
      <c r="AF34" s="46">
        <f>COUNTIF(Список35[[#This Row],[09.сен]:[30.дек]],4)*AF$3</f>
        <v>0</v>
      </c>
      <c r="AG34" s="46">
        <f>SUM(Список35[[#This Row],[Лабы]:[Отч4]])</f>
        <v>1</v>
      </c>
      <c r="AH34" s="46">
        <f>Список35[[#This Row],[Теория]]+Список35[[#This Row],[Практика]]</f>
        <v>12</v>
      </c>
      <c r="AI34" s="44"/>
    </row>
    <row r="35" spans="2:35" x14ac:dyDescent="0.25">
      <c r="B35" s="46">
        <v>30</v>
      </c>
      <c r="C35" s="46" t="s">
        <v>117</v>
      </c>
      <c r="D35" s="46" t="s">
        <v>143</v>
      </c>
      <c r="E35" s="46" t="s">
        <v>28</v>
      </c>
      <c r="F35" s="46">
        <v>18</v>
      </c>
      <c r="G35" s="34" t="s">
        <v>76</v>
      </c>
      <c r="H35" s="47" t="s">
        <v>76</v>
      </c>
      <c r="I35" s="47" t="s">
        <v>76</v>
      </c>
      <c r="J35" s="47"/>
      <c r="K35" s="34"/>
      <c r="L35" s="47"/>
      <c r="M35" s="34"/>
      <c r="N35" s="46">
        <f>COUNTA(Список35[[#This Row],[02.сен]:[25.дек]])</f>
        <v>3</v>
      </c>
      <c r="O35" s="46">
        <v>10</v>
      </c>
      <c r="P35" s="46"/>
      <c r="Q35" s="46"/>
      <c r="R35" s="46"/>
      <c r="S35" s="46">
        <f>Список35[[#This Row],[Лекции]]+Список35[[#This Row],[РК1]]+Список35[[#This Row],[РК2]]+Список35[[#This Row],[РК3]]+Список35[[#This Row],[ДЗ]]</f>
        <v>13</v>
      </c>
      <c r="T35" s="34" t="s">
        <v>76</v>
      </c>
      <c r="U35" s="47">
        <v>1</v>
      </c>
      <c r="V35" s="34"/>
      <c r="W35" s="47"/>
      <c r="X35" s="34"/>
      <c r="Y35" s="47"/>
      <c r="Z35" s="34"/>
      <c r="AA35" s="34"/>
      <c r="AB35" s="46">
        <f>COUNTA(Список35[[#This Row],[09.сен]:[30.дек]])</f>
        <v>2</v>
      </c>
      <c r="AC35" s="46">
        <f>COUNTIF(Список35[[#This Row],[09.сен]:[30.дек]],1)*AC$3</f>
        <v>8</v>
      </c>
      <c r="AD35" s="46">
        <f>COUNTIF(Список35[[#This Row],[09.сен]:[30.дек]],2)*AD$3</f>
        <v>0</v>
      </c>
      <c r="AE35" s="46">
        <f>COUNTIF(Список35[[#This Row],[09.сен]:[30.дек]],3)*AE$3</f>
        <v>0</v>
      </c>
      <c r="AF35" s="46">
        <f>COUNTIF(Список35[[#This Row],[09.сен]:[30.дек]],4)*AF$3</f>
        <v>0</v>
      </c>
      <c r="AG35" s="46">
        <f>SUM(Список35[[#This Row],[Лабы]:[Отч4]])</f>
        <v>10</v>
      </c>
      <c r="AH35" s="46">
        <f>Список35[[#This Row],[Теория]]+Список35[[#This Row],[Практика]]</f>
        <v>23</v>
      </c>
      <c r="AI35" s="44"/>
    </row>
    <row r="36" spans="2:35" x14ac:dyDescent="0.25">
      <c r="B36" s="46">
        <v>31</v>
      </c>
      <c r="C36" s="46" t="s">
        <v>118</v>
      </c>
      <c r="D36" s="46" t="s">
        <v>46</v>
      </c>
      <c r="E36" s="46" t="s">
        <v>29</v>
      </c>
      <c r="F36" s="46">
        <v>21</v>
      </c>
      <c r="G36" s="34" t="s">
        <v>76</v>
      </c>
      <c r="H36" s="47"/>
      <c r="I36" s="47" t="s">
        <v>76</v>
      </c>
      <c r="J36" s="47"/>
      <c r="K36" s="34"/>
      <c r="L36" s="47"/>
      <c r="M36" s="34"/>
      <c r="N36" s="46">
        <f>COUNTA(Список35[[#This Row],[02.сен]:[25.дек]])</f>
        <v>2</v>
      </c>
      <c r="O36" s="46">
        <v>10</v>
      </c>
      <c r="P36" s="46"/>
      <c r="Q36" s="46"/>
      <c r="R36" s="46"/>
      <c r="S36" s="46">
        <f>Список35[[#This Row],[Лекции]]+Список35[[#This Row],[РК1]]+Список35[[#This Row],[РК2]]+Список35[[#This Row],[РК3]]+Список35[[#This Row],[ДЗ]]</f>
        <v>12</v>
      </c>
      <c r="T36" s="34" t="s">
        <v>76</v>
      </c>
      <c r="U36" s="47"/>
      <c r="V36" s="34"/>
      <c r="W36" s="47"/>
      <c r="X36" s="34"/>
      <c r="Y36" s="47"/>
      <c r="Z36" s="34"/>
      <c r="AA36" s="34"/>
      <c r="AB36" s="46">
        <f>COUNTA(Список35[[#This Row],[09.сен]:[30.дек]])</f>
        <v>1</v>
      </c>
      <c r="AC36" s="46">
        <f>COUNTIF(Список35[[#This Row],[09.сен]:[30.дек]],1)*AC$3</f>
        <v>0</v>
      </c>
      <c r="AD36" s="46">
        <f>COUNTIF(Список35[[#This Row],[09.сен]:[30.дек]],2)*AD$3</f>
        <v>0</v>
      </c>
      <c r="AE36" s="46">
        <f>COUNTIF(Список35[[#This Row],[09.сен]:[30.дек]],3)*AE$3</f>
        <v>0</v>
      </c>
      <c r="AF36" s="46">
        <f>COUNTIF(Список35[[#This Row],[09.сен]:[30.дек]],4)*AF$3</f>
        <v>0</v>
      </c>
      <c r="AG36" s="46">
        <f>SUM(Список35[[#This Row],[Лабы]:[Отч4]])</f>
        <v>1</v>
      </c>
      <c r="AH36" s="46">
        <f>Список35[[#This Row],[Теория]]+Список35[[#This Row],[Практика]]</f>
        <v>13</v>
      </c>
      <c r="AI36" s="44"/>
    </row>
    <row r="37" spans="2:35" x14ac:dyDescent="0.25">
      <c r="B37" s="46">
        <v>32</v>
      </c>
      <c r="C37" s="46" t="s">
        <v>119</v>
      </c>
      <c r="D37" s="46" t="s">
        <v>144</v>
      </c>
      <c r="E37" s="46" t="s">
        <v>28</v>
      </c>
      <c r="F37" s="46">
        <v>19</v>
      </c>
      <c r="G37" s="34" t="s">
        <v>76</v>
      </c>
      <c r="H37" s="47" t="s">
        <v>76</v>
      </c>
      <c r="I37" s="34" t="s">
        <v>76</v>
      </c>
      <c r="J37" s="47"/>
      <c r="K37" s="34"/>
      <c r="L37" s="47"/>
      <c r="M37" s="34"/>
      <c r="N37" s="46">
        <f>COUNTA(Список35[[#This Row],[02.сен]:[25.дек]])</f>
        <v>3</v>
      </c>
      <c r="O37" s="46">
        <v>10</v>
      </c>
      <c r="P37" s="46"/>
      <c r="Q37" s="46"/>
      <c r="R37" s="46"/>
      <c r="S37" s="46">
        <f>Список35[[#This Row],[Лекции]]+Список35[[#This Row],[РК1]]+Список35[[#This Row],[РК2]]+Список35[[#This Row],[РК3]]+Список35[[#This Row],[ДЗ]]</f>
        <v>13</v>
      </c>
      <c r="T37" s="34" t="s">
        <v>76</v>
      </c>
      <c r="U37" s="47">
        <v>1</v>
      </c>
      <c r="V37" s="34"/>
      <c r="W37" s="47"/>
      <c r="X37" s="34"/>
      <c r="Y37" s="47"/>
      <c r="Z37" s="34"/>
      <c r="AA37" s="34"/>
      <c r="AB37" s="46">
        <f>COUNTA(Список35[[#This Row],[09.сен]:[30.дек]])</f>
        <v>2</v>
      </c>
      <c r="AC37" s="46">
        <f>COUNTIF(Список35[[#This Row],[09.сен]:[30.дек]],1)*AC$3</f>
        <v>8</v>
      </c>
      <c r="AD37" s="46">
        <f>COUNTIF(Список35[[#This Row],[09.сен]:[30.дек]],2)*AD$3</f>
        <v>0</v>
      </c>
      <c r="AE37" s="46">
        <f>COUNTIF(Список35[[#This Row],[09.сен]:[30.дек]],3)*AE$3</f>
        <v>0</v>
      </c>
      <c r="AF37" s="46">
        <f>COUNTIF(Список35[[#This Row],[09.сен]:[30.дек]],4)*AF$3</f>
        <v>0</v>
      </c>
      <c r="AG37" s="46">
        <f>SUM(Список35[[#This Row],[Лабы]:[Отч4]])</f>
        <v>10</v>
      </c>
      <c r="AH37" s="46">
        <f>Список35[[#This Row],[Теория]]+Список35[[#This Row],[Практика]]</f>
        <v>23</v>
      </c>
      <c r="AI37" s="45" t="s">
        <v>197</v>
      </c>
    </row>
    <row r="38" spans="2:35" x14ac:dyDescent="0.25">
      <c r="B38" s="46"/>
      <c r="C38" s="46"/>
      <c r="D38" s="46"/>
      <c r="E38" s="46"/>
      <c r="F38" s="46"/>
      <c r="G38" s="34">
        <f>COUNTA(Список35[02.сен])</f>
        <v>31</v>
      </c>
      <c r="H38" s="34">
        <f>COUNTA(Список35[16.сен])</f>
        <v>18</v>
      </c>
      <c r="I38" s="34">
        <f>COUNTA(Список35[30.сен])</f>
        <v>31</v>
      </c>
      <c r="J38" s="34">
        <f>COUNTA(Список35[14.окт])</f>
        <v>0</v>
      </c>
      <c r="K38" s="34">
        <f>COUNTA(Список35[28.окт])</f>
        <v>0</v>
      </c>
      <c r="L38" s="34">
        <f>COUNTA(Список35[11.дек])</f>
        <v>0</v>
      </c>
      <c r="M38" s="34">
        <f>COUNTA(Список35[25.дек])</f>
        <v>0</v>
      </c>
      <c r="N38" s="46"/>
      <c r="O38" s="46">
        <f>SUBTOTAL(102,Список35[РК1])</f>
        <v>31</v>
      </c>
      <c r="P38" s="46">
        <f>SUBTOTAL(102,Список35[РК2])</f>
        <v>0</v>
      </c>
      <c r="Q38" s="46">
        <f>SUBTOTAL(102,Список35[РК3])</f>
        <v>0</v>
      </c>
      <c r="R38" s="46">
        <f>SUBTOTAL(102,Список35[ДЗ])</f>
        <v>0</v>
      </c>
      <c r="S38" s="46"/>
      <c r="T38" s="46">
        <f>COUNTA(#REF!)</f>
        <v>1</v>
      </c>
      <c r="U38" s="46">
        <f>COUNTA(#REF!)</f>
        <v>1</v>
      </c>
      <c r="V38" s="46">
        <f>COUNTA(#REF!)</f>
        <v>1</v>
      </c>
      <c r="W38" s="46">
        <f>COUNTA(#REF!)</f>
        <v>1</v>
      </c>
      <c r="X38" s="46">
        <f>COUNTA(#REF!)</f>
        <v>1</v>
      </c>
      <c r="Y38" s="46">
        <f>COUNTA(#REF!)</f>
        <v>1</v>
      </c>
      <c r="Z38" s="46">
        <f>COUNTA(#REF!)</f>
        <v>1</v>
      </c>
      <c r="AA38" s="46">
        <f>COUNTA(#REF!)</f>
        <v>1</v>
      </c>
      <c r="AB38" s="46"/>
      <c r="AC38" s="46">
        <f>COUNTIF(Список35[Отч1],"&lt;&gt;0")</f>
        <v>13</v>
      </c>
      <c r="AD38" s="46">
        <f>COUNTIF(Список35[Отч2],"&lt;&gt;0")</f>
        <v>0</v>
      </c>
      <c r="AE38" s="46">
        <f>COUNTIF(Список35[Отч3],"&lt;&gt;0")</f>
        <v>0</v>
      </c>
      <c r="AF38" s="46">
        <f>COUNTIF(Список35[Отч4],"&lt;&gt;0")</f>
        <v>0</v>
      </c>
      <c r="AG38" s="46"/>
      <c r="AH38" s="46">
        <f>SUBTOTAL(103,Список35[Итог])</f>
        <v>32</v>
      </c>
      <c r="AI38">
        <f>SUBTOTAL(103,Список35[Книги])</f>
        <v>14</v>
      </c>
    </row>
    <row r="39" spans="2:35" x14ac:dyDescent="0.25">
      <c r="B39" s="11"/>
      <c r="C39" s="11"/>
      <c r="D39" s="11"/>
      <c r="E39" s="11"/>
      <c r="G39" s="22"/>
      <c r="H39" s="22"/>
      <c r="I39" s="11"/>
      <c r="J39" s="22"/>
      <c r="K39" s="11"/>
      <c r="L39" s="11"/>
      <c r="M39" s="11"/>
    </row>
    <row r="40" spans="2:35" x14ac:dyDescent="0.25">
      <c r="B40" s="11"/>
      <c r="C40" s="11"/>
      <c r="D40" s="11"/>
      <c r="E40" s="11"/>
      <c r="G40" s="22"/>
      <c r="H40" s="11"/>
      <c r="I40" s="22"/>
      <c r="J40" s="11"/>
      <c r="K40" s="11"/>
      <c r="L40" s="11"/>
      <c r="M40" s="11"/>
    </row>
    <row r="41" spans="2:35" x14ac:dyDescent="0.25">
      <c r="B41" s="11"/>
      <c r="C41" s="11"/>
      <c r="D41" s="11"/>
      <c r="E41" s="11"/>
      <c r="G41" s="22"/>
      <c r="H41" s="11"/>
      <c r="I41" s="22"/>
      <c r="J41" s="11"/>
      <c r="K41" s="11"/>
      <c r="L41" s="11"/>
      <c r="M41" s="11"/>
    </row>
  </sheetData>
  <conditionalFormatting sqref="N38:N39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40:N41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{3FF18B69-3836-44C7-9C0B-E02932C42C11}</x14:id>
        </ext>
      </extLst>
    </cfRule>
  </conditionalFormatting>
  <conditionalFormatting sqref="S6:S37">
    <cfRule type="dataBar" priority="1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{F77FC200-5913-4B1A-A214-2B631C5DD913}</x14:id>
        </ext>
      </extLst>
    </cfRule>
  </conditionalFormatting>
  <conditionalFormatting sqref="AB38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6:AG37">
    <cfRule type="dataBar" priority="1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{77567F0D-FB61-4C63-8892-E69A72CE8482}</x14:id>
        </ext>
      </extLst>
    </cfRule>
  </conditionalFormatting>
  <conditionalFormatting sqref="AH6:AH37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FF18B69-3836-44C7-9C0B-E02932C42C1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N40:N41</xm:sqref>
        </x14:conditionalFormatting>
        <x14:conditionalFormatting xmlns:xm="http://schemas.microsoft.com/office/excel/2006/main">
          <x14:cfRule type="dataBar" id="{F77FC200-5913-4B1A-A214-2B631C5DD91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S6:S37</xm:sqref>
        </x14:conditionalFormatting>
        <x14:conditionalFormatting xmlns:xm="http://schemas.microsoft.com/office/excel/2006/main">
          <x14:cfRule type="dataBar" id="{77567F0D-FB61-4C63-8892-E69A72CE848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AG6:AG37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07DC6-4452-48D7-B32C-1B907B86CED3}">
  <dimension ref="A3:B20"/>
  <sheetViews>
    <sheetView workbookViewId="0">
      <selection activeCell="E19" sqref="E19"/>
    </sheetView>
  </sheetViews>
  <sheetFormatPr defaultRowHeight="15" x14ac:dyDescent="0.25"/>
  <cols>
    <col min="1" max="1" width="17.28515625" bestFit="1" customWidth="1"/>
    <col min="2" max="2" width="31.5703125" bestFit="1" customWidth="1"/>
  </cols>
  <sheetData>
    <row r="3" spans="1:2" x14ac:dyDescent="0.25">
      <c r="A3" s="2" t="s">
        <v>52</v>
      </c>
      <c r="B3" t="s">
        <v>54</v>
      </c>
    </row>
    <row r="4" spans="1:2" x14ac:dyDescent="0.25">
      <c r="A4" s="3" t="s">
        <v>129</v>
      </c>
      <c r="B4">
        <v>3</v>
      </c>
    </row>
    <row r="5" spans="1:2" x14ac:dyDescent="0.25">
      <c r="A5" s="3" t="s">
        <v>39</v>
      </c>
      <c r="B5">
        <v>2</v>
      </c>
    </row>
    <row r="6" spans="1:2" x14ac:dyDescent="0.25">
      <c r="A6" s="3" t="s">
        <v>50</v>
      </c>
      <c r="B6">
        <v>2</v>
      </c>
    </row>
    <row r="7" spans="1:2" x14ac:dyDescent="0.25">
      <c r="A7" s="3" t="s">
        <v>37</v>
      </c>
      <c r="B7">
        <v>2</v>
      </c>
    </row>
    <row r="8" spans="1:2" x14ac:dyDescent="0.25">
      <c r="A8" s="3" t="s">
        <v>130</v>
      </c>
      <c r="B8">
        <v>1</v>
      </c>
    </row>
    <row r="9" spans="1:2" x14ac:dyDescent="0.25">
      <c r="A9" s="3" t="s">
        <v>133</v>
      </c>
      <c r="B9">
        <v>1</v>
      </c>
    </row>
    <row r="10" spans="1:2" x14ac:dyDescent="0.25">
      <c r="A10" s="3" t="s">
        <v>33</v>
      </c>
      <c r="B10">
        <v>1</v>
      </c>
    </row>
    <row r="11" spans="1:2" x14ac:dyDescent="0.25">
      <c r="A11" s="3" t="s">
        <v>144</v>
      </c>
      <c r="B11">
        <v>1</v>
      </c>
    </row>
    <row r="12" spans="1:2" x14ac:dyDescent="0.25">
      <c r="A12" s="3" t="s">
        <v>142</v>
      </c>
      <c r="B12">
        <v>1</v>
      </c>
    </row>
    <row r="13" spans="1:2" x14ac:dyDescent="0.25">
      <c r="A13" s="3" t="s">
        <v>138</v>
      </c>
      <c r="B13">
        <v>1</v>
      </c>
    </row>
    <row r="14" spans="1:2" x14ac:dyDescent="0.25">
      <c r="A14" s="3" t="s">
        <v>143</v>
      </c>
      <c r="B14">
        <v>1</v>
      </c>
    </row>
    <row r="15" spans="1:2" x14ac:dyDescent="0.25">
      <c r="A15" s="3" t="s">
        <v>131</v>
      </c>
      <c r="B15">
        <v>1</v>
      </c>
    </row>
    <row r="16" spans="1:2" x14ac:dyDescent="0.25">
      <c r="A16" s="3" t="s">
        <v>141</v>
      </c>
      <c r="B16">
        <v>1</v>
      </c>
    </row>
    <row r="17" spans="1:2" x14ac:dyDescent="0.25">
      <c r="A17" s="3" t="s">
        <v>140</v>
      </c>
      <c r="B17">
        <v>1</v>
      </c>
    </row>
    <row r="18" spans="1:2" x14ac:dyDescent="0.25">
      <c r="A18" s="3" t="s">
        <v>132</v>
      </c>
      <c r="B18">
        <v>1</v>
      </c>
    </row>
    <row r="19" spans="1:2" x14ac:dyDescent="0.25">
      <c r="A19" s="3" t="s">
        <v>136</v>
      </c>
      <c r="B19">
        <v>1</v>
      </c>
    </row>
    <row r="20" spans="1:2" x14ac:dyDescent="0.25">
      <c r="A20" s="3" t="s">
        <v>53</v>
      </c>
      <c r="B20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F421C-92B7-4475-B26A-EBF12B430D4C}">
  <dimension ref="B2:B23"/>
  <sheetViews>
    <sheetView workbookViewId="0">
      <selection activeCell="B4" sqref="B4"/>
    </sheetView>
  </sheetViews>
  <sheetFormatPr defaultRowHeight="15" x14ac:dyDescent="0.25"/>
  <cols>
    <col min="2" max="2" width="16.7109375" customWidth="1"/>
  </cols>
  <sheetData>
    <row r="2" spans="2:2" x14ac:dyDescent="0.25">
      <c r="B2" t="s">
        <v>51</v>
      </c>
    </row>
    <row r="3" spans="2:2" x14ac:dyDescent="0.25">
      <c r="B3" s="27" t="s">
        <v>129</v>
      </c>
    </row>
    <row r="4" spans="2:2" x14ac:dyDescent="0.25">
      <c r="B4" s="27" t="s">
        <v>151</v>
      </c>
    </row>
    <row r="5" spans="2:2" x14ac:dyDescent="0.25">
      <c r="B5" s="27" t="s">
        <v>130</v>
      </c>
    </row>
    <row r="6" spans="2:2" x14ac:dyDescent="0.25">
      <c r="B6" s="27" t="s">
        <v>131</v>
      </c>
    </row>
    <row r="7" spans="2:2" x14ac:dyDescent="0.25">
      <c r="B7" s="27" t="s">
        <v>50</v>
      </c>
    </row>
    <row r="8" spans="2:2" x14ac:dyDescent="0.25">
      <c r="B8" s="27" t="s">
        <v>132</v>
      </c>
    </row>
    <row r="9" spans="2:2" x14ac:dyDescent="0.25">
      <c r="B9" s="27" t="s">
        <v>37</v>
      </c>
    </row>
    <row r="10" spans="2:2" x14ac:dyDescent="0.25">
      <c r="B10" s="27" t="s">
        <v>133</v>
      </c>
    </row>
    <row r="11" spans="2:2" x14ac:dyDescent="0.25">
      <c r="B11" s="27" t="s">
        <v>39</v>
      </c>
    </row>
    <row r="12" spans="2:2" x14ac:dyDescent="0.25">
      <c r="B12" s="27" t="s">
        <v>33</v>
      </c>
    </row>
    <row r="13" spans="2:2" x14ac:dyDescent="0.25">
      <c r="B13" s="27" t="s">
        <v>37</v>
      </c>
    </row>
    <row r="14" spans="2:2" x14ac:dyDescent="0.25">
      <c r="B14" s="27" t="s">
        <v>136</v>
      </c>
    </row>
    <row r="15" spans="2:2" x14ac:dyDescent="0.25">
      <c r="B15" s="27" t="s">
        <v>138</v>
      </c>
    </row>
    <row r="16" spans="2:2" x14ac:dyDescent="0.25">
      <c r="B16" s="27" t="s">
        <v>129</v>
      </c>
    </row>
    <row r="17" spans="2:2" x14ac:dyDescent="0.25">
      <c r="B17" s="27" t="s">
        <v>140</v>
      </c>
    </row>
    <row r="18" spans="2:2" x14ac:dyDescent="0.25">
      <c r="B18" s="27" t="s">
        <v>129</v>
      </c>
    </row>
    <row r="19" spans="2:2" x14ac:dyDescent="0.25">
      <c r="B19" s="27" t="s">
        <v>50</v>
      </c>
    </row>
    <row r="20" spans="2:2" x14ac:dyDescent="0.25">
      <c r="B20" s="27" t="s">
        <v>141</v>
      </c>
    </row>
    <row r="21" spans="2:2" x14ac:dyDescent="0.25">
      <c r="B21" s="27" t="s">
        <v>142</v>
      </c>
    </row>
    <row r="22" spans="2:2" x14ac:dyDescent="0.25">
      <c r="B22" s="27" t="s">
        <v>143</v>
      </c>
    </row>
    <row r="23" spans="2:2" x14ac:dyDescent="0.25">
      <c r="B23" s="28" t="s">
        <v>144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A1B2A-C8FA-4173-AF86-9421847B60D1}">
  <dimension ref="B2:I17"/>
  <sheetViews>
    <sheetView topLeftCell="D1" workbookViewId="0">
      <selection activeCell="L17" sqref="L17"/>
    </sheetView>
  </sheetViews>
  <sheetFormatPr defaultRowHeight="15" x14ac:dyDescent="0.25"/>
  <cols>
    <col min="2" max="2" width="17.85546875" customWidth="1"/>
    <col min="3" max="3" width="28" customWidth="1"/>
    <col min="5" max="5" width="34.140625" customWidth="1"/>
  </cols>
  <sheetData>
    <row r="2" spans="2:9" x14ac:dyDescent="0.25">
      <c r="B2" t="s">
        <v>122</v>
      </c>
      <c r="D2">
        <v>50</v>
      </c>
    </row>
    <row r="3" spans="2:9" x14ac:dyDescent="0.25">
      <c r="C3" t="s">
        <v>123</v>
      </c>
      <c r="D3" s="5">
        <v>0.6</v>
      </c>
      <c r="E3" t="s">
        <v>154</v>
      </c>
      <c r="F3">
        <v>30</v>
      </c>
    </row>
    <row r="4" spans="2:9" x14ac:dyDescent="0.25">
      <c r="C4" t="s">
        <v>124</v>
      </c>
      <c r="D4" s="5">
        <v>0.3</v>
      </c>
      <c r="E4" t="s">
        <v>155</v>
      </c>
      <c r="F4">
        <v>12</v>
      </c>
    </row>
    <row r="5" spans="2:9" x14ac:dyDescent="0.25">
      <c r="C5" t="s">
        <v>125</v>
      </c>
      <c r="D5" s="5">
        <v>0.1</v>
      </c>
      <c r="E5" t="s">
        <v>152</v>
      </c>
      <c r="F5">
        <v>8</v>
      </c>
    </row>
    <row r="6" spans="2:9" x14ac:dyDescent="0.25">
      <c r="B6" t="s">
        <v>126</v>
      </c>
      <c r="D6">
        <v>50</v>
      </c>
    </row>
    <row r="7" spans="2:9" x14ac:dyDescent="0.25">
      <c r="C7" t="s">
        <v>127</v>
      </c>
      <c r="D7" s="5">
        <v>0.6</v>
      </c>
      <c r="E7" t="s">
        <v>156</v>
      </c>
      <c r="F7">
        <v>42</v>
      </c>
    </row>
    <row r="8" spans="2:9" hidden="1" x14ac:dyDescent="0.25">
      <c r="D8" s="5"/>
    </row>
    <row r="9" spans="2:9" x14ac:dyDescent="0.25">
      <c r="C9" t="s">
        <v>128</v>
      </c>
      <c r="D9" s="5">
        <v>0.1</v>
      </c>
      <c r="E9" t="s">
        <v>153</v>
      </c>
      <c r="F9">
        <v>8</v>
      </c>
    </row>
    <row r="13" spans="2:9" x14ac:dyDescent="0.25">
      <c r="E13" t="s">
        <v>79</v>
      </c>
      <c r="F13">
        <v>3</v>
      </c>
      <c r="H13" s="29">
        <f>$H$17*F13</f>
        <v>7</v>
      </c>
      <c r="I13">
        <v>7</v>
      </c>
    </row>
    <row r="14" spans="2:9" x14ac:dyDescent="0.25">
      <c r="E14" t="s">
        <v>80</v>
      </c>
      <c r="F14">
        <v>4</v>
      </c>
      <c r="H14" s="29">
        <f>$H$17*F14</f>
        <v>9.3333333333333339</v>
      </c>
      <c r="I14">
        <v>9</v>
      </c>
    </row>
    <row r="15" spans="2:9" x14ac:dyDescent="0.25">
      <c r="E15" t="s">
        <v>81</v>
      </c>
      <c r="F15">
        <v>5</v>
      </c>
      <c r="H15" s="29">
        <f>$H$17*F15</f>
        <v>11.666666666666668</v>
      </c>
      <c r="I15">
        <v>12</v>
      </c>
    </row>
    <row r="16" spans="2:9" x14ac:dyDescent="0.25">
      <c r="E16" t="s">
        <v>82</v>
      </c>
      <c r="F16">
        <v>6</v>
      </c>
      <c r="H16" s="29">
        <f>$H$17*F16</f>
        <v>14</v>
      </c>
      <c r="I16">
        <v>14</v>
      </c>
    </row>
    <row r="17" spans="7:9" x14ac:dyDescent="0.25">
      <c r="G17">
        <v>18</v>
      </c>
      <c r="H17" s="29">
        <f>(F7+F8)/G17</f>
        <v>2.3333333333333335</v>
      </c>
      <c r="I17">
        <f>SUM(I13:I16)</f>
        <v>42</v>
      </c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T36"/>
  <sheetViews>
    <sheetView showGridLines="0" zoomScale="120" zoomScaleNormal="120" workbookViewId="0">
      <pane xSplit="20" ySplit="4" topLeftCell="Y5" activePane="bottomRight" state="frozen"/>
      <selection pane="topRight" activeCell="U1" sqref="U1"/>
      <selection pane="bottomLeft" activeCell="A5" sqref="A5"/>
      <selection pane="bottomRight" activeCell="R5" sqref="R5"/>
    </sheetView>
  </sheetViews>
  <sheetFormatPr defaultRowHeight="15" x14ac:dyDescent="0.25"/>
  <cols>
    <col min="1" max="1" width="3.140625" customWidth="1"/>
    <col min="2" max="2" width="5.42578125" customWidth="1"/>
    <col min="3" max="3" width="24" customWidth="1"/>
    <col min="4" max="4" width="13" customWidth="1"/>
    <col min="5" max="5" width="6.7109375" customWidth="1"/>
    <col min="6" max="6" width="6.140625" customWidth="1"/>
    <col min="7" max="7" width="7" customWidth="1"/>
    <col min="8" max="8" width="7.7109375" customWidth="1"/>
    <col min="9" max="10" width="7.28515625" customWidth="1"/>
    <col min="11" max="12" width="6.5703125" customWidth="1"/>
    <col min="13" max="14" width="7" customWidth="1"/>
    <col min="15" max="15" width="8.85546875" customWidth="1"/>
    <col min="16" max="16" width="11.28515625" customWidth="1"/>
    <col min="17" max="17" width="10.28515625" customWidth="1"/>
    <col min="18" max="18" width="10.140625" customWidth="1"/>
    <col min="19" max="19" width="9.140625" customWidth="1"/>
  </cols>
  <sheetData>
    <row r="1" spans="2:20" ht="26.25" customHeight="1" x14ac:dyDescent="0.25">
      <c r="C1" s="23" t="s">
        <v>83</v>
      </c>
    </row>
    <row r="2" spans="2:20" ht="17.25" customHeight="1" x14ac:dyDescent="0.25">
      <c r="G2" s="38" t="s">
        <v>63</v>
      </c>
      <c r="H2" s="38"/>
      <c r="I2" s="39" t="s">
        <v>67</v>
      </c>
      <c r="J2" s="38"/>
      <c r="K2" s="40" t="s">
        <v>69</v>
      </c>
      <c r="L2" s="41"/>
      <c r="M2" s="39" t="s">
        <v>72</v>
      </c>
      <c r="N2" s="38"/>
      <c r="P2" s="10" t="s">
        <v>70</v>
      </c>
    </row>
    <row r="3" spans="2:20" ht="7.5" customHeight="1" x14ac:dyDescent="0.25"/>
    <row r="4" spans="2:20" x14ac:dyDescent="0.25">
      <c r="B4" t="s">
        <v>3</v>
      </c>
      <c r="C4" t="s">
        <v>2</v>
      </c>
      <c r="D4" t="s">
        <v>51</v>
      </c>
      <c r="E4" t="s">
        <v>58</v>
      </c>
      <c r="F4" t="s">
        <v>65</v>
      </c>
      <c r="G4" s="8" t="s">
        <v>60</v>
      </c>
      <c r="H4" s="8" t="s">
        <v>61</v>
      </c>
      <c r="I4" s="8" t="s">
        <v>62</v>
      </c>
      <c r="J4" s="8" t="s">
        <v>64</v>
      </c>
      <c r="K4" s="8" t="s">
        <v>68</v>
      </c>
      <c r="L4" s="8" t="s">
        <v>71</v>
      </c>
      <c r="M4" s="8" t="s">
        <v>74</v>
      </c>
      <c r="N4" s="8" t="s">
        <v>73</v>
      </c>
      <c r="O4" t="s">
        <v>78</v>
      </c>
      <c r="P4" s="20" t="s">
        <v>66</v>
      </c>
      <c r="Q4" t="s">
        <v>85</v>
      </c>
      <c r="R4" t="s">
        <v>86</v>
      </c>
      <c r="S4" t="s">
        <v>84</v>
      </c>
      <c r="T4" t="s">
        <v>87</v>
      </c>
    </row>
    <row r="5" spans="2:20" x14ac:dyDescent="0.25">
      <c r="B5">
        <v>1</v>
      </c>
      <c r="C5" t="s">
        <v>0</v>
      </c>
      <c r="D5" t="s">
        <v>30</v>
      </c>
      <c r="E5" t="s">
        <v>28</v>
      </c>
      <c r="F5">
        <v>11</v>
      </c>
      <c r="G5" s="9" t="s">
        <v>76</v>
      </c>
      <c r="H5" s="9" t="s">
        <v>76</v>
      </c>
      <c r="J5" s="12"/>
      <c r="K5">
        <v>1</v>
      </c>
      <c r="L5">
        <v>2</v>
      </c>
      <c r="M5">
        <v>3</v>
      </c>
      <c r="N5">
        <v>4</v>
      </c>
      <c r="O5">
        <f>COUNTA(Список[[#This Row],[08.сен]:[22.дек]])</f>
        <v>6</v>
      </c>
      <c r="P5" s="12"/>
      <c r="Q5">
        <v>20</v>
      </c>
      <c r="R5">
        <v>20</v>
      </c>
      <c r="S5">
        <v>50</v>
      </c>
      <c r="T5">
        <f>Список[[#This Row],[Баллы1]]+Список[[#This Row],[Баллы2]]</f>
        <v>70</v>
      </c>
    </row>
    <row r="6" spans="2:20" x14ac:dyDescent="0.25">
      <c r="B6">
        <v>2</v>
      </c>
      <c r="C6" s="24" t="s">
        <v>1</v>
      </c>
      <c r="D6" t="s">
        <v>31</v>
      </c>
      <c r="E6" t="s">
        <v>28</v>
      </c>
      <c r="F6">
        <v>11</v>
      </c>
      <c r="G6" s="9" t="s">
        <v>76</v>
      </c>
      <c r="J6" s="12"/>
      <c r="O6">
        <f>COUNTA(Список[[#This Row],[08.сен]:[22.дек]])</f>
        <v>1</v>
      </c>
      <c r="T6">
        <f>Список[[#This Row],[Баллы1]]+Список[[#This Row],[Баллы2]]</f>
        <v>0</v>
      </c>
    </row>
    <row r="7" spans="2:20" x14ac:dyDescent="0.25">
      <c r="B7">
        <v>3</v>
      </c>
      <c r="C7" t="s">
        <v>4</v>
      </c>
      <c r="D7" t="s">
        <v>32</v>
      </c>
      <c r="E7" t="s">
        <v>28</v>
      </c>
      <c r="F7">
        <v>1</v>
      </c>
      <c r="G7" s="9" t="s">
        <v>76</v>
      </c>
      <c r="H7" s="14" t="s">
        <v>77</v>
      </c>
      <c r="I7" s="19">
        <v>1</v>
      </c>
      <c r="J7" s="15" t="s">
        <v>77</v>
      </c>
      <c r="L7">
        <v>2</v>
      </c>
      <c r="M7" s="26">
        <v>3</v>
      </c>
      <c r="N7">
        <v>4</v>
      </c>
      <c r="O7">
        <f>COUNTA(Список[[#This Row],[08.сен]:[22.дек]])</f>
        <v>7</v>
      </c>
      <c r="P7">
        <v>3</v>
      </c>
      <c r="Q7">
        <v>42</v>
      </c>
      <c r="R7">
        <v>25</v>
      </c>
      <c r="S7">
        <v>55</v>
      </c>
      <c r="T7">
        <f>Список[[#This Row],[Баллы1]]+Список[[#This Row],[Баллы2]]</f>
        <v>97</v>
      </c>
    </row>
    <row r="8" spans="2:20" x14ac:dyDescent="0.25">
      <c r="B8">
        <v>4</v>
      </c>
      <c r="C8" t="s">
        <v>5</v>
      </c>
      <c r="D8" t="s">
        <v>33</v>
      </c>
      <c r="E8" t="s">
        <v>28</v>
      </c>
      <c r="F8">
        <v>18</v>
      </c>
      <c r="G8" s="9" t="s">
        <v>76</v>
      </c>
      <c r="H8" s="9" t="s">
        <v>76</v>
      </c>
      <c r="J8" s="16">
        <v>1</v>
      </c>
      <c r="L8">
        <v>2</v>
      </c>
      <c r="M8">
        <v>3</v>
      </c>
      <c r="N8">
        <v>4</v>
      </c>
      <c r="O8">
        <f>COUNTA(Список[[#This Row],[08.сен]:[22.дек]])</f>
        <v>6</v>
      </c>
      <c r="P8">
        <v>4</v>
      </c>
      <c r="Q8">
        <v>42</v>
      </c>
      <c r="R8">
        <v>20</v>
      </c>
      <c r="S8">
        <v>50</v>
      </c>
      <c r="T8">
        <f>Список[[#This Row],[Баллы1]]+Список[[#This Row],[Баллы2]]</f>
        <v>92</v>
      </c>
    </row>
    <row r="9" spans="2:20" x14ac:dyDescent="0.25">
      <c r="B9">
        <v>5</v>
      </c>
      <c r="C9" t="s">
        <v>6</v>
      </c>
      <c r="D9" t="s">
        <v>34</v>
      </c>
      <c r="E9" t="s">
        <v>28</v>
      </c>
      <c r="F9">
        <v>2</v>
      </c>
      <c r="G9" s="9" t="s">
        <v>76</v>
      </c>
      <c r="H9" s="14" t="s">
        <v>77</v>
      </c>
      <c r="J9" s="16">
        <v>1</v>
      </c>
      <c r="L9">
        <v>2</v>
      </c>
      <c r="M9">
        <v>3</v>
      </c>
      <c r="N9">
        <v>4</v>
      </c>
      <c r="O9">
        <f>COUNTA(Список[[#This Row],[08.сен]:[22.дек]])</f>
        <v>6</v>
      </c>
      <c r="P9">
        <v>4</v>
      </c>
      <c r="Q9">
        <v>42</v>
      </c>
      <c r="R9">
        <v>25</v>
      </c>
      <c r="S9">
        <v>55</v>
      </c>
      <c r="T9">
        <f>Список[[#This Row],[Баллы1]]+Список[[#This Row],[Баллы2]]</f>
        <v>97</v>
      </c>
    </row>
    <row r="10" spans="2:20" x14ac:dyDescent="0.25">
      <c r="B10">
        <v>6</v>
      </c>
      <c r="C10" t="s">
        <v>7</v>
      </c>
      <c r="D10" t="s">
        <v>35</v>
      </c>
      <c r="E10" t="s">
        <v>29</v>
      </c>
      <c r="F10">
        <v>3</v>
      </c>
      <c r="G10" s="9" t="s">
        <v>76</v>
      </c>
      <c r="H10" s="18">
        <v>1</v>
      </c>
      <c r="J10" s="19">
        <v>2</v>
      </c>
      <c r="K10" s="9">
        <v>3</v>
      </c>
      <c r="L10" s="9"/>
      <c r="M10" s="9">
        <v>4</v>
      </c>
      <c r="N10" s="9"/>
      <c r="O10">
        <f>COUNTA(Список[[#This Row],[08.сен]:[22.дек]])</f>
        <v>5</v>
      </c>
      <c r="P10">
        <v>5</v>
      </c>
      <c r="Q10">
        <v>45</v>
      </c>
      <c r="R10">
        <v>25</v>
      </c>
      <c r="S10">
        <v>55</v>
      </c>
      <c r="T10">
        <f>Список[[#This Row],[Баллы1]]+Список[[#This Row],[Баллы2]]</f>
        <v>100</v>
      </c>
    </row>
    <row r="11" spans="2:20" x14ac:dyDescent="0.25">
      <c r="B11">
        <v>7</v>
      </c>
      <c r="C11" t="s">
        <v>8</v>
      </c>
      <c r="D11" t="s">
        <v>36</v>
      </c>
      <c r="E11" t="s">
        <v>28</v>
      </c>
      <c r="F11">
        <v>4</v>
      </c>
      <c r="G11" s="9" t="s">
        <v>76</v>
      </c>
      <c r="H11" s="14" t="s">
        <v>77</v>
      </c>
      <c r="I11" s="14">
        <v>1</v>
      </c>
      <c r="J11" s="12"/>
      <c r="K11" s="14">
        <v>2</v>
      </c>
      <c r="L11" s="26">
        <v>3</v>
      </c>
      <c r="M11" s="9">
        <v>4</v>
      </c>
      <c r="N11" s="9"/>
      <c r="O11">
        <f>COUNTA(Список[[#This Row],[08.сен]:[22.дек]])</f>
        <v>6</v>
      </c>
      <c r="P11">
        <v>3</v>
      </c>
      <c r="Q11">
        <v>39</v>
      </c>
      <c r="R11">
        <v>25</v>
      </c>
      <c r="S11">
        <v>55</v>
      </c>
      <c r="T11">
        <f>Список[[#This Row],[Баллы1]]+Список[[#This Row],[Баллы2]]</f>
        <v>94</v>
      </c>
    </row>
    <row r="12" spans="2:20" x14ac:dyDescent="0.25">
      <c r="B12">
        <v>8</v>
      </c>
      <c r="C12" t="s">
        <v>9</v>
      </c>
      <c r="D12" t="s">
        <v>37</v>
      </c>
      <c r="E12" t="s">
        <v>28</v>
      </c>
      <c r="F12">
        <v>15</v>
      </c>
      <c r="G12" s="9" t="s">
        <v>76</v>
      </c>
      <c r="H12" s="18">
        <v>1</v>
      </c>
      <c r="I12" s="14" t="s">
        <v>77</v>
      </c>
      <c r="J12" s="19">
        <v>2</v>
      </c>
      <c r="K12" s="9"/>
      <c r="L12" s="9">
        <v>3</v>
      </c>
      <c r="M12" s="9">
        <v>4</v>
      </c>
      <c r="N12" s="9"/>
      <c r="O12">
        <f>COUNTA(Список[[#This Row],[08.сен]:[22.дек]])</f>
        <v>6</v>
      </c>
      <c r="P12">
        <v>5</v>
      </c>
      <c r="Q12">
        <v>45</v>
      </c>
      <c r="R12">
        <v>25</v>
      </c>
      <c r="S12">
        <v>55</v>
      </c>
      <c r="T12">
        <f>Список[[#This Row],[Баллы1]]+Список[[#This Row],[Баллы2]]</f>
        <v>100</v>
      </c>
    </row>
    <row r="13" spans="2:20" x14ac:dyDescent="0.25">
      <c r="B13">
        <v>9</v>
      </c>
      <c r="C13" s="24" t="s">
        <v>75</v>
      </c>
      <c r="D13" t="s">
        <v>38</v>
      </c>
      <c r="E13" t="s">
        <v>29</v>
      </c>
      <c r="F13" s="12"/>
      <c r="G13" s="9"/>
      <c r="J13" s="12"/>
      <c r="K13" s="9"/>
      <c r="L13" s="9"/>
      <c r="M13" s="9"/>
      <c r="N13" s="9"/>
      <c r="O13">
        <f>COUNTA(Список[[#This Row],[08.сен]:[22.дек]])</f>
        <v>0</v>
      </c>
      <c r="Q13">
        <v>0</v>
      </c>
      <c r="T13">
        <f>Список[[#This Row],[Баллы1]]+Список[[#This Row],[Баллы2]]</f>
        <v>0</v>
      </c>
    </row>
    <row r="14" spans="2:20" x14ac:dyDescent="0.25">
      <c r="B14">
        <v>10</v>
      </c>
      <c r="C14" t="s">
        <v>10</v>
      </c>
      <c r="D14" t="s">
        <v>32</v>
      </c>
      <c r="E14" t="s">
        <v>28</v>
      </c>
      <c r="F14">
        <v>6</v>
      </c>
      <c r="G14" s="9" t="s">
        <v>76</v>
      </c>
      <c r="I14" s="19">
        <v>1</v>
      </c>
      <c r="J14" s="19">
        <v>2</v>
      </c>
      <c r="K14" s="9"/>
      <c r="L14" s="9"/>
      <c r="M14" s="9">
        <v>3</v>
      </c>
      <c r="N14" s="9">
        <v>4</v>
      </c>
      <c r="O14">
        <f>COUNTA(Список[[#This Row],[08.сен]:[22.дек]])</f>
        <v>5</v>
      </c>
      <c r="P14">
        <v>4</v>
      </c>
      <c r="Q14">
        <v>42</v>
      </c>
      <c r="R14">
        <v>25</v>
      </c>
      <c r="S14">
        <v>55</v>
      </c>
      <c r="T14">
        <f>Список[[#This Row],[Баллы1]]+Список[[#This Row],[Баллы2]]</f>
        <v>97</v>
      </c>
    </row>
    <row r="15" spans="2:20" x14ac:dyDescent="0.25">
      <c r="B15">
        <v>11</v>
      </c>
      <c r="C15" t="s">
        <v>11</v>
      </c>
      <c r="D15" t="s">
        <v>39</v>
      </c>
      <c r="E15" t="s">
        <v>28</v>
      </c>
      <c r="F15" s="13">
        <v>17</v>
      </c>
      <c r="G15" s="9"/>
      <c r="I15" s="19">
        <v>1</v>
      </c>
      <c r="J15" s="19">
        <v>2</v>
      </c>
      <c r="K15" s="9"/>
      <c r="L15" s="9">
        <v>3</v>
      </c>
      <c r="M15" s="9"/>
      <c r="N15" s="9">
        <v>4</v>
      </c>
      <c r="O15">
        <f>COUNTA(Список[[#This Row],[08.сен]:[22.дек]])</f>
        <v>4</v>
      </c>
      <c r="P15">
        <v>5</v>
      </c>
      <c r="Q15">
        <v>45</v>
      </c>
      <c r="R15">
        <v>20</v>
      </c>
      <c r="S15">
        <v>50</v>
      </c>
      <c r="T15">
        <f>Список[[#This Row],[Баллы1]]+Список[[#This Row],[Баллы2]]</f>
        <v>95</v>
      </c>
    </row>
    <row r="16" spans="2:20" x14ac:dyDescent="0.25">
      <c r="B16">
        <v>12</v>
      </c>
      <c r="C16" s="11" t="s">
        <v>12</v>
      </c>
      <c r="D16" t="s">
        <v>40</v>
      </c>
      <c r="E16" t="s">
        <v>29</v>
      </c>
      <c r="F16">
        <v>7</v>
      </c>
      <c r="G16" s="9" t="s">
        <v>76</v>
      </c>
      <c r="H16" s="14" t="s">
        <v>77</v>
      </c>
      <c r="I16" s="14" t="s">
        <v>77</v>
      </c>
      <c r="J16" s="12">
        <v>1</v>
      </c>
      <c r="K16" s="9"/>
      <c r="L16" s="9">
        <v>2</v>
      </c>
      <c r="M16" s="9">
        <v>3</v>
      </c>
      <c r="N16" s="9">
        <v>4</v>
      </c>
      <c r="O16">
        <f>COUNTA(Список[[#This Row],[08.сен]:[22.дек]])</f>
        <v>7</v>
      </c>
      <c r="P16">
        <v>4</v>
      </c>
      <c r="Q16">
        <v>42</v>
      </c>
      <c r="R16">
        <v>15</v>
      </c>
      <c r="S16">
        <v>45</v>
      </c>
      <c r="T16">
        <f>Список[[#This Row],[Баллы1]]+Список[[#This Row],[Баллы2]]</f>
        <v>87</v>
      </c>
    </row>
    <row r="17" spans="2:20" x14ac:dyDescent="0.25">
      <c r="B17">
        <v>13</v>
      </c>
      <c r="C17" t="s">
        <v>13</v>
      </c>
      <c r="D17" t="s">
        <v>36</v>
      </c>
      <c r="E17" t="s">
        <v>28</v>
      </c>
      <c r="F17">
        <v>6</v>
      </c>
      <c r="G17" s="9" t="s">
        <v>76</v>
      </c>
      <c r="H17" s="9" t="s">
        <v>76</v>
      </c>
      <c r="I17" s="19">
        <v>1</v>
      </c>
      <c r="J17" s="19">
        <v>2</v>
      </c>
      <c r="K17" s="9"/>
      <c r="L17" s="9"/>
      <c r="M17" s="9">
        <v>3</v>
      </c>
      <c r="N17" s="9">
        <v>4</v>
      </c>
      <c r="O17">
        <f>COUNTA(Список[[#This Row],[08.сен]:[22.дек]])</f>
        <v>6</v>
      </c>
      <c r="P17">
        <v>4</v>
      </c>
      <c r="Q17">
        <v>42</v>
      </c>
      <c r="R17">
        <v>25</v>
      </c>
      <c r="S17">
        <v>55</v>
      </c>
      <c r="T17">
        <f>Список[[#This Row],[Баллы1]]+Список[[#This Row],[Баллы2]]</f>
        <v>97</v>
      </c>
    </row>
    <row r="18" spans="2:20" x14ac:dyDescent="0.25">
      <c r="B18">
        <v>14</v>
      </c>
      <c r="C18" t="s">
        <v>14</v>
      </c>
      <c r="D18" t="s">
        <v>39</v>
      </c>
      <c r="E18" t="s">
        <v>28</v>
      </c>
      <c r="F18">
        <v>18</v>
      </c>
      <c r="G18" s="9" t="s">
        <v>76</v>
      </c>
      <c r="H18" s="9" t="s">
        <v>76</v>
      </c>
      <c r="J18" s="16">
        <v>1</v>
      </c>
      <c r="K18" s="9"/>
      <c r="L18" s="9">
        <v>2</v>
      </c>
      <c r="M18" s="9">
        <v>3</v>
      </c>
      <c r="N18" s="9">
        <v>4</v>
      </c>
      <c r="O18">
        <f>COUNTA(Список[[#This Row],[08.сен]:[22.дек]])</f>
        <v>6</v>
      </c>
      <c r="P18">
        <v>4</v>
      </c>
      <c r="Q18">
        <v>42</v>
      </c>
      <c r="R18">
        <v>20</v>
      </c>
      <c r="S18">
        <v>50</v>
      </c>
      <c r="T18">
        <f>Список[[#This Row],[Баллы1]]+Список[[#This Row],[Баллы2]]</f>
        <v>92</v>
      </c>
    </row>
    <row r="19" spans="2:20" x14ac:dyDescent="0.25">
      <c r="B19">
        <v>15</v>
      </c>
      <c r="C19" t="s">
        <v>15</v>
      </c>
      <c r="D19" t="s">
        <v>41</v>
      </c>
      <c r="E19" t="s">
        <v>28</v>
      </c>
      <c r="F19">
        <v>8</v>
      </c>
      <c r="G19" s="9" t="s">
        <v>76</v>
      </c>
      <c r="H19" s="9" t="s">
        <v>76</v>
      </c>
      <c r="J19" s="16">
        <v>1</v>
      </c>
      <c r="K19" s="9"/>
      <c r="L19" s="26">
        <v>2</v>
      </c>
      <c r="M19" s="9">
        <v>3</v>
      </c>
      <c r="N19" s="9">
        <v>4</v>
      </c>
      <c r="O19">
        <f>COUNTA(Список[[#This Row],[08.сен]:[22.дек]])</f>
        <v>6</v>
      </c>
      <c r="P19">
        <v>4</v>
      </c>
      <c r="Q19">
        <v>42</v>
      </c>
      <c r="R19">
        <v>25</v>
      </c>
      <c r="S19">
        <v>55</v>
      </c>
      <c r="T19">
        <f>Список[[#This Row],[Баллы1]]+Список[[#This Row],[Баллы2]]</f>
        <v>97</v>
      </c>
    </row>
    <row r="20" spans="2:20" x14ac:dyDescent="0.25">
      <c r="B20">
        <v>16</v>
      </c>
      <c r="C20" t="s">
        <v>16</v>
      </c>
      <c r="D20" t="s">
        <v>40</v>
      </c>
      <c r="E20" t="s">
        <v>29</v>
      </c>
      <c r="F20">
        <v>8</v>
      </c>
      <c r="G20" s="9" t="s">
        <v>76</v>
      </c>
      <c r="H20" s="9" t="s">
        <v>76</v>
      </c>
      <c r="J20" s="16">
        <v>1</v>
      </c>
      <c r="K20" s="9"/>
      <c r="L20" s="26">
        <v>2</v>
      </c>
      <c r="M20" s="9">
        <v>3</v>
      </c>
      <c r="N20" s="9">
        <v>4</v>
      </c>
      <c r="O20">
        <f>COUNTA(Список[[#This Row],[08.сен]:[22.дек]])</f>
        <v>6</v>
      </c>
      <c r="P20">
        <v>4</v>
      </c>
      <c r="Q20">
        <v>42</v>
      </c>
      <c r="R20">
        <v>25</v>
      </c>
      <c r="S20">
        <v>55</v>
      </c>
      <c r="T20">
        <f>Список[[#This Row],[Баллы1]]+Список[[#This Row],[Баллы2]]</f>
        <v>97</v>
      </c>
    </row>
    <row r="21" spans="2:20" x14ac:dyDescent="0.25">
      <c r="B21">
        <v>17</v>
      </c>
      <c r="C21" t="s">
        <v>17</v>
      </c>
      <c r="D21" t="s">
        <v>42</v>
      </c>
      <c r="E21" t="s">
        <v>29</v>
      </c>
      <c r="F21">
        <v>9</v>
      </c>
      <c r="G21" s="9" t="s">
        <v>76</v>
      </c>
      <c r="H21" s="9" t="s">
        <v>76</v>
      </c>
      <c r="I21" s="19">
        <v>1</v>
      </c>
      <c r="J21" s="19">
        <v>2</v>
      </c>
      <c r="K21" s="9"/>
      <c r="L21" s="26">
        <v>3</v>
      </c>
      <c r="M21" s="9">
        <v>4</v>
      </c>
      <c r="N21" s="9"/>
      <c r="O21">
        <f>COUNTA(Список[[#This Row],[08.сен]:[22.дек]])</f>
        <v>6</v>
      </c>
      <c r="P21">
        <v>3</v>
      </c>
      <c r="Q21">
        <v>39</v>
      </c>
      <c r="R21">
        <v>25</v>
      </c>
      <c r="S21">
        <v>55</v>
      </c>
      <c r="T21">
        <f>Список[[#This Row],[Баллы1]]+Список[[#This Row],[Баллы2]]</f>
        <v>94</v>
      </c>
    </row>
    <row r="22" spans="2:20" x14ac:dyDescent="0.25">
      <c r="B22">
        <v>18</v>
      </c>
      <c r="C22" t="s">
        <v>18</v>
      </c>
      <c r="D22" t="s">
        <v>43</v>
      </c>
      <c r="E22" t="s">
        <v>29</v>
      </c>
      <c r="F22">
        <v>17</v>
      </c>
      <c r="G22" s="9" t="s">
        <v>76</v>
      </c>
      <c r="H22" s="14" t="s">
        <v>77</v>
      </c>
      <c r="I22" s="19">
        <v>1</v>
      </c>
      <c r="J22" s="19">
        <v>2</v>
      </c>
      <c r="K22" s="9" t="s">
        <v>76</v>
      </c>
      <c r="L22" s="9"/>
      <c r="M22" s="9">
        <v>3</v>
      </c>
      <c r="N22" s="9">
        <v>4</v>
      </c>
      <c r="O22">
        <f>COUNTA(Список[[#This Row],[08.сен]:[22.дек]])</f>
        <v>7</v>
      </c>
      <c r="P22">
        <v>4</v>
      </c>
      <c r="Q22">
        <v>42</v>
      </c>
      <c r="R22">
        <v>20</v>
      </c>
      <c r="S22">
        <v>50</v>
      </c>
      <c r="T22">
        <f>Список[[#This Row],[Баллы1]]+Список[[#This Row],[Баллы2]]</f>
        <v>92</v>
      </c>
    </row>
    <row r="23" spans="2:20" x14ac:dyDescent="0.25">
      <c r="B23">
        <v>19</v>
      </c>
      <c r="C23" t="s">
        <v>19</v>
      </c>
      <c r="D23" t="s">
        <v>44</v>
      </c>
      <c r="E23" t="s">
        <v>28</v>
      </c>
      <c r="F23">
        <v>4</v>
      </c>
      <c r="G23" s="9" t="s">
        <v>76</v>
      </c>
      <c r="H23" s="14" t="s">
        <v>77</v>
      </c>
      <c r="I23" s="14">
        <v>1</v>
      </c>
      <c r="J23" s="12"/>
      <c r="K23" s="9">
        <v>2</v>
      </c>
      <c r="L23" s="26">
        <v>3</v>
      </c>
      <c r="M23" s="9">
        <v>4</v>
      </c>
      <c r="N23" s="9"/>
      <c r="O23">
        <f>COUNTA(Список[[#This Row],[08.сен]:[22.дек]])</f>
        <v>6</v>
      </c>
      <c r="P23">
        <v>4</v>
      </c>
      <c r="Q23">
        <v>42</v>
      </c>
      <c r="R23">
        <v>25</v>
      </c>
      <c r="S23">
        <v>55</v>
      </c>
      <c r="T23">
        <f>Список[[#This Row],[Баллы1]]+Список[[#This Row],[Баллы2]]</f>
        <v>97</v>
      </c>
    </row>
    <row r="24" spans="2:20" x14ac:dyDescent="0.25">
      <c r="B24">
        <v>20</v>
      </c>
      <c r="C24" t="s">
        <v>20</v>
      </c>
      <c r="D24" t="s">
        <v>45</v>
      </c>
      <c r="E24" t="s">
        <v>29</v>
      </c>
      <c r="F24">
        <v>9</v>
      </c>
      <c r="G24" s="9" t="s">
        <v>76</v>
      </c>
      <c r="H24" s="9" t="s">
        <v>76</v>
      </c>
      <c r="I24" s="19">
        <v>1</v>
      </c>
      <c r="J24" s="19">
        <v>2</v>
      </c>
      <c r="K24" s="9"/>
      <c r="L24" s="26">
        <v>3</v>
      </c>
      <c r="M24" s="9">
        <v>4</v>
      </c>
      <c r="N24" s="9"/>
      <c r="O24">
        <f>COUNTA(Список[[#This Row],[08.сен]:[22.дек]])</f>
        <v>6</v>
      </c>
      <c r="P24">
        <v>5</v>
      </c>
      <c r="Q24">
        <v>45</v>
      </c>
      <c r="R24">
        <v>15</v>
      </c>
      <c r="S24">
        <v>45</v>
      </c>
      <c r="T24">
        <f>Список[[#This Row],[Баллы1]]+Список[[#This Row],[Баллы2]]</f>
        <v>90</v>
      </c>
    </row>
    <row r="25" spans="2:20" x14ac:dyDescent="0.25">
      <c r="B25">
        <v>21</v>
      </c>
      <c r="C25" t="s">
        <v>21</v>
      </c>
      <c r="D25" t="s">
        <v>46</v>
      </c>
      <c r="E25" t="s">
        <v>29</v>
      </c>
      <c r="F25">
        <v>21</v>
      </c>
      <c r="G25" s="9" t="s">
        <v>76</v>
      </c>
      <c r="H25" s="9" t="s">
        <v>76</v>
      </c>
      <c r="I25" s="14" t="s">
        <v>77</v>
      </c>
      <c r="J25" s="16">
        <v>1</v>
      </c>
      <c r="K25" s="9"/>
      <c r="L25" s="9">
        <v>2</v>
      </c>
      <c r="M25" s="9">
        <v>3</v>
      </c>
      <c r="N25" s="9"/>
      <c r="O25">
        <f>COUNTA(Список[[#This Row],[08.сен]:[22.дек]])</f>
        <v>6</v>
      </c>
      <c r="P25" s="12">
        <v>3</v>
      </c>
      <c r="Q25">
        <v>39</v>
      </c>
      <c r="R25">
        <v>20</v>
      </c>
      <c r="S25">
        <v>35</v>
      </c>
      <c r="T25">
        <f>Список[[#This Row],[Баллы1]]+Список[[#This Row],[Баллы2]]</f>
        <v>74</v>
      </c>
    </row>
    <row r="26" spans="2:20" x14ac:dyDescent="0.25">
      <c r="B26">
        <v>22</v>
      </c>
      <c r="C26" t="s">
        <v>22</v>
      </c>
      <c r="D26" t="s">
        <v>47</v>
      </c>
      <c r="E26" t="s">
        <v>29</v>
      </c>
      <c r="F26">
        <v>2</v>
      </c>
      <c r="G26" s="9" t="s">
        <v>76</v>
      </c>
      <c r="H26" s="14" t="s">
        <v>77</v>
      </c>
      <c r="J26" s="16">
        <v>1</v>
      </c>
      <c r="K26" s="9"/>
      <c r="L26" s="9">
        <v>2</v>
      </c>
      <c r="M26" s="9">
        <v>3</v>
      </c>
      <c r="N26" s="9">
        <v>4</v>
      </c>
      <c r="O26">
        <f>COUNTA(Список[[#This Row],[08.сен]:[22.дек]])</f>
        <v>6</v>
      </c>
      <c r="P26">
        <v>5</v>
      </c>
      <c r="Q26">
        <v>45</v>
      </c>
      <c r="R26">
        <v>25</v>
      </c>
      <c r="S26">
        <v>55</v>
      </c>
      <c r="T26">
        <f>Список[[#This Row],[Баллы1]]+Список[[#This Row],[Баллы2]]</f>
        <v>100</v>
      </c>
    </row>
    <row r="27" spans="2:20" x14ac:dyDescent="0.25">
      <c r="B27">
        <v>23</v>
      </c>
      <c r="C27" t="s">
        <v>24</v>
      </c>
      <c r="D27" t="s">
        <v>49</v>
      </c>
      <c r="E27" t="s">
        <v>29</v>
      </c>
      <c r="F27">
        <v>7</v>
      </c>
      <c r="G27" s="9" t="s">
        <v>76</v>
      </c>
      <c r="I27" s="14" t="s">
        <v>77</v>
      </c>
      <c r="J27" s="12">
        <v>1</v>
      </c>
      <c r="K27" s="9"/>
      <c r="L27" s="9">
        <v>2</v>
      </c>
      <c r="M27" s="9">
        <v>3</v>
      </c>
      <c r="N27" s="9">
        <v>4</v>
      </c>
      <c r="O27">
        <f>COUNTA(Список[[#This Row],[08.сен]:[22.дек]])</f>
        <v>6</v>
      </c>
      <c r="P27">
        <v>3</v>
      </c>
      <c r="Q27">
        <v>39</v>
      </c>
      <c r="R27">
        <v>15</v>
      </c>
      <c r="S27">
        <v>45</v>
      </c>
      <c r="T27">
        <f>Список[[#This Row],[Баллы1]]+Список[[#This Row],[Баллы2]]</f>
        <v>84</v>
      </c>
    </row>
    <row r="28" spans="2:20" x14ac:dyDescent="0.25">
      <c r="B28">
        <v>24</v>
      </c>
      <c r="C28" t="s">
        <v>23</v>
      </c>
      <c r="D28" t="s">
        <v>48</v>
      </c>
      <c r="E28" t="s">
        <v>29</v>
      </c>
      <c r="F28">
        <v>21</v>
      </c>
      <c r="G28" s="9" t="s">
        <v>76</v>
      </c>
      <c r="I28" s="14" t="s">
        <v>77</v>
      </c>
      <c r="J28" s="16">
        <v>1</v>
      </c>
      <c r="K28" s="9"/>
      <c r="L28" s="9">
        <v>2</v>
      </c>
      <c r="M28" s="9">
        <v>3</v>
      </c>
      <c r="N28" s="9"/>
      <c r="O28">
        <f>COUNTA(Список[[#This Row],[08.сен]:[22.дек]])</f>
        <v>5</v>
      </c>
      <c r="P28">
        <v>4</v>
      </c>
      <c r="Q28">
        <v>42</v>
      </c>
      <c r="R28">
        <v>20</v>
      </c>
      <c r="S28">
        <v>35</v>
      </c>
      <c r="T28">
        <f>Список[[#This Row],[Баллы1]]+Список[[#This Row],[Баллы2]]</f>
        <v>77</v>
      </c>
    </row>
    <row r="29" spans="2:20" x14ac:dyDescent="0.25">
      <c r="B29">
        <v>25</v>
      </c>
      <c r="C29" t="s">
        <v>25</v>
      </c>
      <c r="D29" t="s">
        <v>34</v>
      </c>
      <c r="E29" t="s">
        <v>28</v>
      </c>
      <c r="F29">
        <v>15</v>
      </c>
      <c r="G29" s="9" t="s">
        <v>76</v>
      </c>
      <c r="H29" s="19">
        <v>1</v>
      </c>
      <c r="J29" s="19">
        <v>2</v>
      </c>
      <c r="K29" s="9"/>
      <c r="L29" s="26">
        <v>3</v>
      </c>
      <c r="M29" s="9">
        <v>4</v>
      </c>
      <c r="N29" s="9"/>
      <c r="O29">
        <f>COUNTA(Список[[#This Row],[08.сен]:[22.дек]])</f>
        <v>5</v>
      </c>
      <c r="P29">
        <v>5</v>
      </c>
      <c r="Q29">
        <v>45</v>
      </c>
      <c r="R29">
        <v>25</v>
      </c>
      <c r="S29">
        <v>55</v>
      </c>
      <c r="T29">
        <f>Список[[#This Row],[Баллы1]]+Список[[#This Row],[Баллы2]]</f>
        <v>100</v>
      </c>
    </row>
    <row r="30" spans="2:20" x14ac:dyDescent="0.25">
      <c r="B30">
        <v>26</v>
      </c>
      <c r="C30" t="s">
        <v>26</v>
      </c>
      <c r="D30" t="s">
        <v>34</v>
      </c>
      <c r="E30" t="s">
        <v>28</v>
      </c>
      <c r="F30">
        <v>3</v>
      </c>
      <c r="G30" s="9" t="s">
        <v>76</v>
      </c>
      <c r="H30" s="19">
        <v>1</v>
      </c>
      <c r="J30" s="19">
        <v>2</v>
      </c>
      <c r="K30" s="9">
        <v>3</v>
      </c>
      <c r="L30" s="9"/>
      <c r="M30" s="9">
        <v>4</v>
      </c>
      <c r="N30" s="9"/>
      <c r="O30">
        <f>COUNTA(Список[[#This Row],[08.сен]:[22.дек]])</f>
        <v>5</v>
      </c>
      <c r="P30">
        <v>5</v>
      </c>
      <c r="Q30">
        <v>45</v>
      </c>
      <c r="R30">
        <v>25</v>
      </c>
      <c r="S30">
        <v>55</v>
      </c>
      <c r="T30">
        <f>Список[[#This Row],[Баллы1]]+Список[[#This Row],[Баллы2]]</f>
        <v>100</v>
      </c>
    </row>
    <row r="31" spans="2:20" x14ac:dyDescent="0.25">
      <c r="B31">
        <v>27</v>
      </c>
      <c r="C31" t="s">
        <v>27</v>
      </c>
      <c r="D31" t="s">
        <v>50</v>
      </c>
      <c r="E31" t="s">
        <v>28</v>
      </c>
      <c r="F31">
        <v>1</v>
      </c>
      <c r="G31" s="9" t="s">
        <v>76</v>
      </c>
      <c r="H31" s="14" t="s">
        <v>77</v>
      </c>
      <c r="I31" s="19">
        <v>1</v>
      </c>
      <c r="J31" s="15" t="s">
        <v>77</v>
      </c>
      <c r="K31" s="9">
        <v>2</v>
      </c>
      <c r="L31" s="26">
        <v>3</v>
      </c>
      <c r="M31" s="9">
        <v>4</v>
      </c>
      <c r="N31" s="9"/>
      <c r="O31">
        <f>COUNTA(Список[[#This Row],[08.сен]:[22.дек]])</f>
        <v>7</v>
      </c>
      <c r="P31">
        <v>4</v>
      </c>
      <c r="Q31">
        <v>42</v>
      </c>
      <c r="R31">
        <v>25</v>
      </c>
      <c r="S31">
        <v>55</v>
      </c>
      <c r="T31">
        <f>Список[[#This Row],[Баллы1]]+Список[[#This Row],[Баллы2]]</f>
        <v>97</v>
      </c>
    </row>
    <row r="32" spans="2:20" x14ac:dyDescent="0.25">
      <c r="B32" t="s">
        <v>79</v>
      </c>
      <c r="F32">
        <f>SUM(H32:N32)</f>
        <v>25</v>
      </c>
      <c r="G32" s="9"/>
      <c r="H32" s="9">
        <f>SUBTOTAL(102,Список[22.сен])</f>
        <v>4</v>
      </c>
      <c r="I32">
        <f>SUBTOTAL(102,Список[06.окт])</f>
        <v>10</v>
      </c>
      <c r="J32" s="9">
        <f>COUNTIF(Список[20.окт],1)</f>
        <v>10</v>
      </c>
      <c r="K32">
        <f>COUNTIF(Список[17.ноя],1)</f>
        <v>1</v>
      </c>
      <c r="L32">
        <f>COUNTIF(Список[01.дек],1)</f>
        <v>0</v>
      </c>
      <c r="M32">
        <f>COUNTIF(Список[15.дек],1)</f>
        <v>0</v>
      </c>
      <c r="N32">
        <f>COUNTIF(Список[22.дек],1)</f>
        <v>0</v>
      </c>
      <c r="P32">
        <f>SUBTOTAL(102,Список[27.окт])</f>
        <v>24</v>
      </c>
      <c r="Q32" s="25"/>
      <c r="R32" s="25">
        <f>SUBTOTAL(102,Список[ДЗ])</f>
        <v>25</v>
      </c>
      <c r="S32" s="25"/>
      <c r="T32" s="25"/>
    </row>
    <row r="33" spans="2:16" x14ac:dyDescent="0.25">
      <c r="B33" s="11" t="s">
        <v>80</v>
      </c>
      <c r="C33" s="11"/>
      <c r="D33" s="11"/>
      <c r="E33" s="11"/>
      <c r="F33">
        <f>SUM(H33:N33)</f>
        <v>25</v>
      </c>
      <c r="G33" s="22"/>
      <c r="H33" s="22"/>
      <c r="I33" s="11"/>
      <c r="J33" s="22">
        <f>COUNTIF(Список[20.окт],2)</f>
        <v>10</v>
      </c>
      <c r="K33" s="11">
        <f>COUNTIF(Список[17.ноя],2)</f>
        <v>3</v>
      </c>
      <c r="L33" s="11">
        <f>COUNTIF(Список[01.дек],2)</f>
        <v>12</v>
      </c>
      <c r="M33" s="11">
        <f>COUNTIF(Список[15.дек],2)</f>
        <v>0</v>
      </c>
      <c r="N33" s="11">
        <f>COUNTIF(Список[22.дек],2)</f>
        <v>0</v>
      </c>
      <c r="P33">
        <f>COUNTIF(Список[27.окт],5)</f>
        <v>7</v>
      </c>
    </row>
    <row r="34" spans="2:16" x14ac:dyDescent="0.25">
      <c r="B34" s="17" t="s">
        <v>81</v>
      </c>
      <c r="C34" s="17"/>
      <c r="D34" s="17"/>
      <c r="E34" s="17"/>
      <c r="F34">
        <f>SUM(H34:N34)</f>
        <v>25</v>
      </c>
      <c r="G34" s="21"/>
      <c r="H34" s="17"/>
      <c r="I34" s="21"/>
      <c r="J34" s="17"/>
      <c r="K34" s="17">
        <f>COUNTIF(Список[17.ноя],3)</f>
        <v>2</v>
      </c>
      <c r="L34" s="17">
        <f>COUNTIF(Список[01.дек],3)</f>
        <v>8</v>
      </c>
      <c r="M34" s="17">
        <f>COUNTIF(Список[15.дек],3)</f>
        <v>15</v>
      </c>
      <c r="N34" s="17">
        <f>COUNTIF(Список[22.дек],3)</f>
        <v>0</v>
      </c>
      <c r="O34" s="1"/>
      <c r="P34">
        <f>COUNTIF(Список[27.окт],4)</f>
        <v>12</v>
      </c>
    </row>
    <row r="35" spans="2:16" x14ac:dyDescent="0.25">
      <c r="B35" s="17" t="s">
        <v>82</v>
      </c>
      <c r="C35" s="17"/>
      <c r="D35" s="17"/>
      <c r="E35" s="17"/>
      <c r="F35">
        <f>SUM(H35:N35)</f>
        <v>23</v>
      </c>
      <c r="G35" s="21"/>
      <c r="H35" s="17"/>
      <c r="I35" s="21"/>
      <c r="J35" s="17"/>
      <c r="K35" s="17">
        <f>COUNTIF(Список[17.ноя],4)</f>
        <v>0</v>
      </c>
      <c r="L35" s="17">
        <f>COUNTIF(Список[01.дек],4)</f>
        <v>0</v>
      </c>
      <c r="M35" s="17">
        <f>COUNTIF(Список[15.дек],4)</f>
        <v>9</v>
      </c>
      <c r="N35" s="17">
        <f>COUNTIF(Список[22.дек],4)</f>
        <v>14</v>
      </c>
      <c r="O35" s="1"/>
      <c r="P35">
        <f>COUNTIF(Список[27.окт],3)</f>
        <v>5</v>
      </c>
    </row>
    <row r="36" spans="2:16" x14ac:dyDescent="0.25">
      <c r="P36">
        <f>COUNTIF(Список[27.окт],"&lt;3")</f>
        <v>0</v>
      </c>
    </row>
  </sheetData>
  <mergeCells count="4">
    <mergeCell ref="G2:H2"/>
    <mergeCell ref="I2:J2"/>
    <mergeCell ref="K2:L2"/>
    <mergeCell ref="M2:N2"/>
  </mergeCells>
  <phoneticPr fontId="5" type="noConversion"/>
  <conditionalFormatting sqref="O5:O33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34:O35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{2EC6AC69-A471-4F88-B4EC-1DCA2B2FF77F}</x14:id>
        </ext>
      </extLst>
    </cfRule>
  </conditionalFormatting>
  <conditionalFormatting sqref="P5:P31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{38798A35-A1F8-493B-AB6E-0AB96D564358}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EC6AC69-A471-4F88-B4EC-1DCA2B2FF77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O34:O35</xm:sqref>
        </x14:conditionalFormatting>
        <x14:conditionalFormatting xmlns:xm="http://schemas.microsoft.com/office/excel/2006/main">
          <x14:cfRule type="dataBar" id="{38798A35-A1F8-493B-AB6E-0AB96D56435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P5:P31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3:E25"/>
  <sheetViews>
    <sheetView workbookViewId="0">
      <selection activeCell="G15" sqref="G15"/>
    </sheetView>
  </sheetViews>
  <sheetFormatPr defaultRowHeight="15" x14ac:dyDescent="0.25"/>
  <cols>
    <col min="1" max="1" width="17.28515625" bestFit="1" customWidth="1"/>
    <col min="2" max="2" width="31.5703125" bestFit="1" customWidth="1"/>
    <col min="3" max="3" width="16.140625" customWidth="1"/>
    <col min="4" max="5" width="10.7109375" customWidth="1"/>
  </cols>
  <sheetData>
    <row r="3" spans="1:5" x14ac:dyDescent="0.25">
      <c r="A3" s="2" t="s">
        <v>52</v>
      </c>
      <c r="B3" t="s">
        <v>54</v>
      </c>
      <c r="C3" t="s">
        <v>55</v>
      </c>
      <c r="D3" t="s">
        <v>56</v>
      </c>
      <c r="E3" t="s">
        <v>57</v>
      </c>
    </row>
    <row r="4" spans="1:5" x14ac:dyDescent="0.25">
      <c r="A4" s="6" t="s">
        <v>34</v>
      </c>
      <c r="B4">
        <v>3</v>
      </c>
      <c r="C4">
        <v>1</v>
      </c>
      <c r="D4">
        <v>1</v>
      </c>
      <c r="E4">
        <v>1</v>
      </c>
    </row>
    <row r="5" spans="1:5" x14ac:dyDescent="0.25">
      <c r="A5" s="4" t="s">
        <v>32</v>
      </c>
      <c r="B5">
        <v>2</v>
      </c>
    </row>
    <row r="6" spans="1:5" x14ac:dyDescent="0.25">
      <c r="A6" s="4" t="s">
        <v>36</v>
      </c>
      <c r="B6">
        <v>2</v>
      </c>
    </row>
    <row r="7" spans="1:5" x14ac:dyDescent="0.25">
      <c r="A7" s="4" t="s">
        <v>39</v>
      </c>
      <c r="B7">
        <v>2</v>
      </c>
    </row>
    <row r="8" spans="1:5" x14ac:dyDescent="0.25">
      <c r="A8" s="4" t="s">
        <v>40</v>
      </c>
      <c r="B8">
        <v>2</v>
      </c>
    </row>
    <row r="9" spans="1:5" x14ac:dyDescent="0.25">
      <c r="A9" s="6" t="s">
        <v>30</v>
      </c>
      <c r="B9">
        <v>1</v>
      </c>
      <c r="C9">
        <v>1</v>
      </c>
      <c r="D9">
        <v>1</v>
      </c>
      <c r="E9">
        <v>1</v>
      </c>
    </row>
    <row r="10" spans="1:5" x14ac:dyDescent="0.25">
      <c r="A10" s="7" t="s">
        <v>44</v>
      </c>
      <c r="B10">
        <v>1</v>
      </c>
    </row>
    <row r="11" spans="1:5" x14ac:dyDescent="0.25">
      <c r="A11" s="4" t="s">
        <v>43</v>
      </c>
      <c r="B11">
        <v>1</v>
      </c>
    </row>
    <row r="12" spans="1:5" x14ac:dyDescent="0.25">
      <c r="A12" s="7" t="s">
        <v>38</v>
      </c>
      <c r="B12">
        <v>1</v>
      </c>
    </row>
    <row r="13" spans="1:5" x14ac:dyDescent="0.25">
      <c r="A13" s="6" t="s">
        <v>50</v>
      </c>
      <c r="B13">
        <v>1</v>
      </c>
      <c r="C13">
        <v>1</v>
      </c>
      <c r="D13">
        <v>1</v>
      </c>
      <c r="E13">
        <v>1</v>
      </c>
    </row>
    <row r="14" spans="1:5" x14ac:dyDescent="0.25">
      <c r="A14" s="4" t="s">
        <v>33</v>
      </c>
      <c r="B14">
        <v>1</v>
      </c>
    </row>
    <row r="15" spans="1:5" x14ac:dyDescent="0.25">
      <c r="A15" s="4" t="s">
        <v>35</v>
      </c>
      <c r="B15">
        <v>1</v>
      </c>
    </row>
    <row r="16" spans="1:5" x14ac:dyDescent="0.25">
      <c r="A16" s="4" t="s">
        <v>37</v>
      </c>
      <c r="B16">
        <v>1</v>
      </c>
    </row>
    <row r="17" spans="1:5" x14ac:dyDescent="0.25">
      <c r="A17" s="4" t="s">
        <v>46</v>
      </c>
      <c r="B17">
        <v>1</v>
      </c>
    </row>
    <row r="18" spans="1:5" x14ac:dyDescent="0.25">
      <c r="A18" s="6" t="s">
        <v>41</v>
      </c>
      <c r="B18">
        <v>1</v>
      </c>
      <c r="C18">
        <v>1</v>
      </c>
      <c r="D18">
        <v>1</v>
      </c>
      <c r="E18">
        <v>1</v>
      </c>
    </row>
    <row r="19" spans="1:5" x14ac:dyDescent="0.25">
      <c r="A19" s="4" t="s">
        <v>47</v>
      </c>
      <c r="B19">
        <v>1</v>
      </c>
    </row>
    <row r="20" spans="1:5" x14ac:dyDescent="0.25">
      <c r="A20" s="6" t="s">
        <v>45</v>
      </c>
      <c r="B20">
        <v>1</v>
      </c>
      <c r="C20">
        <v>1</v>
      </c>
      <c r="D20">
        <v>1</v>
      </c>
      <c r="E20">
        <v>1</v>
      </c>
    </row>
    <row r="21" spans="1:5" x14ac:dyDescent="0.25">
      <c r="A21" s="7" t="s">
        <v>48</v>
      </c>
      <c r="B21">
        <v>1</v>
      </c>
    </row>
    <row r="22" spans="1:5" x14ac:dyDescent="0.25">
      <c r="A22" s="7" t="s">
        <v>49</v>
      </c>
      <c r="B22">
        <v>1</v>
      </c>
    </row>
    <row r="23" spans="1:5" x14ac:dyDescent="0.25">
      <c r="A23" s="6" t="s">
        <v>42</v>
      </c>
      <c r="B23">
        <v>1</v>
      </c>
      <c r="C23">
        <v>1</v>
      </c>
      <c r="D23">
        <v>1</v>
      </c>
      <c r="E23">
        <v>1</v>
      </c>
    </row>
    <row r="24" spans="1:5" x14ac:dyDescent="0.25">
      <c r="A24" s="7" t="s">
        <v>31</v>
      </c>
      <c r="B24">
        <v>1</v>
      </c>
    </row>
    <row r="25" spans="1:5" x14ac:dyDescent="0.25">
      <c r="A25" s="3" t="s">
        <v>53</v>
      </c>
      <c r="B25">
        <v>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C5"/>
  <sheetViews>
    <sheetView workbookViewId="0">
      <selection activeCell="F25" sqref="F25"/>
    </sheetView>
  </sheetViews>
  <sheetFormatPr defaultRowHeight="15" x14ac:dyDescent="0.25"/>
  <cols>
    <col min="2" max="2" width="17.28515625" bestFit="1" customWidth="1"/>
    <col min="3" max="3" width="31.140625" bestFit="1" customWidth="1"/>
  </cols>
  <sheetData>
    <row r="2" spans="2:3" x14ac:dyDescent="0.25">
      <c r="B2" s="2" t="s">
        <v>52</v>
      </c>
      <c r="C2" t="s">
        <v>59</v>
      </c>
    </row>
    <row r="3" spans="2:3" x14ac:dyDescent="0.25">
      <c r="B3" s="3" t="s">
        <v>28</v>
      </c>
      <c r="C3" s="5">
        <v>0.59259259259259256</v>
      </c>
    </row>
    <row r="4" spans="2:3" x14ac:dyDescent="0.25">
      <c r="B4" s="3" t="s">
        <v>29</v>
      </c>
      <c r="C4" s="5">
        <v>0.40740740740740738</v>
      </c>
    </row>
    <row r="5" spans="2:3" x14ac:dyDescent="0.25">
      <c r="B5" s="3" t="s">
        <v>53</v>
      </c>
      <c r="C5" s="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Модели данных</vt:lpstr>
      <vt:lpstr>Частота женских имён</vt:lpstr>
      <vt:lpstr>Женские имена</vt:lpstr>
      <vt:lpstr>Балльно-рейтинговая оценка</vt:lpstr>
      <vt:lpstr>2025</vt:lpstr>
      <vt:lpstr>Имена</vt:lpstr>
      <vt:lpstr>Пол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Valery Artemyev</dc:creator>
  <cp:lastModifiedBy>Valery Artemyev</cp:lastModifiedBy>
  <dcterms:created xsi:type="dcterms:W3CDTF">2025-11-04T13:07:09Z</dcterms:created>
  <dcterms:modified xsi:type="dcterms:W3CDTF">2026-10-06T21:59:14Z</dcterms:modified>
</cp:coreProperties>
</file>