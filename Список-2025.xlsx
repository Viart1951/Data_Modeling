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Обучение\МГТУ\ИБМ3\МоделиДан\"/>
    </mc:Choice>
  </mc:AlternateContent>
  <xr:revisionPtr revIDLastSave="0" documentId="8_{B078A528-F037-4F36-8C5E-ED772F1103D8}" xr6:coauthVersionLast="47" xr6:coauthVersionMax="47" xr10:uidLastSave="{00000000-0000-0000-0000-000000000000}"/>
  <bookViews>
    <workbookView xWindow="-120" yWindow="-120" windowWidth="20730" windowHeight="11160" activeTab="3" xr2:uid="{7AA7BF0B-6293-4492-97A0-087519FE72A3}"/>
  </bookViews>
  <sheets>
    <sheet name="Резюме" sheetId="7" r:id="rId1"/>
    <sheet name="Долг по ЛР1" sheetId="4" r:id="rId2"/>
    <sheet name="Жду ЛР2" sheetId="6" r:id="rId3"/>
    <sheet name="Список" sheetId="1" r:id="rId4"/>
    <sheet name="Имена" sheetId="2" state="hidden" r:id="rId5"/>
    <sheet name="Пол" sheetId="3" state="hidden" r:id="rId6"/>
  </sheets>
  <definedNames>
    <definedName name="_xlcn.WorksheetConnection_Книга1Список1" hidden="1">Список[]</definedName>
  </definedNames>
  <calcPr calcId="191029"/>
  <pivotCaches>
    <pivotCache cacheId="36" r:id="rId7"/>
    <pivotCache cacheId="43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Список" name="Список" connection="WorksheetConnection_Книга1!Список"/>
        </x15:modelTables>
      </x15:dataModel>
    </ext>
  </extLst>
</workbook>
</file>

<file path=xl/calcChain.xml><?xml version="1.0" encoding="utf-8"?>
<calcChain xmlns="http://schemas.openxmlformats.org/spreadsheetml/2006/main">
  <c r="C13" i="7" l="1"/>
  <c r="C14" i="7"/>
  <c r="C15" i="7"/>
  <c r="C12" i="7"/>
  <c r="P35" i="1"/>
  <c r="P36" i="1"/>
  <c r="P34" i="1"/>
  <c r="P33" i="1"/>
  <c r="D11" i="7"/>
  <c r="C11" i="7"/>
  <c r="F8" i="7"/>
  <c r="E8" i="7"/>
  <c r="K35" i="1"/>
  <c r="M35" i="1"/>
  <c r="N35" i="1"/>
  <c r="L35" i="1"/>
  <c r="C8" i="7" s="1"/>
  <c r="K34" i="1"/>
  <c r="L34" i="1"/>
  <c r="M34" i="1"/>
  <c r="N34" i="1"/>
  <c r="L33" i="1"/>
  <c r="M33" i="1"/>
  <c r="N33" i="1"/>
  <c r="L32" i="1"/>
  <c r="M32" i="1"/>
  <c r="N32" i="1"/>
  <c r="K33" i="1"/>
  <c r="K32" i="1"/>
  <c r="P32" i="1"/>
  <c r="C15" i="6"/>
  <c r="C12" i="4"/>
  <c r="J33" i="1"/>
  <c r="J32" i="1"/>
  <c r="I32" i="1"/>
  <c r="H32" i="1"/>
  <c r="C5" i="7" s="1"/>
  <c r="F32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D6" i="7" l="1"/>
  <c r="C6" i="7"/>
  <c r="D7" i="7"/>
  <c r="C7" i="7"/>
  <c r="D8" i="7"/>
  <c r="F6" i="7"/>
  <c r="E6" i="7"/>
  <c r="F7" i="7"/>
  <c r="E7" i="7"/>
  <c r="D5" i="7"/>
  <c r="F5" i="7" l="1"/>
  <c r="E5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99597D7-0995-4F1E-877E-1B7CB6BCA539}" keepAlive="1" name="ThisWorkbookDataModel" description="Модель данных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5AD24858-B6CC-4492-B10A-19DCF94A861A}" name="WorksheetConnection_Книга1!Список" type="102" refreshedVersion="8" minRefreshableVersion="5">
    <extLst>
      <ext xmlns:x15="http://schemas.microsoft.com/office/spreadsheetml/2010/11/main" uri="{DE250136-89BD-433C-8126-D09CA5730AF9}">
        <x15:connection id="Список" autoDelete="1">
          <x15:rangePr sourceName="_xlcn.WorksheetConnection_Книга1Список1"/>
        </x15:connection>
      </ext>
    </extLst>
  </connection>
</connections>
</file>

<file path=xl/sharedStrings.xml><?xml version="1.0" encoding="utf-8"?>
<sst xmlns="http://schemas.openxmlformats.org/spreadsheetml/2006/main" count="282" uniqueCount="96">
  <si>
    <t>Атаманова Софья</t>
  </si>
  <si>
    <t>Ахадова Диера</t>
  </si>
  <si>
    <t>Фамилия, имя</t>
  </si>
  <si>
    <t>№</t>
  </si>
  <si>
    <t>Бабченко Елизавета</t>
  </si>
  <si>
    <t>Волкова Варвара</t>
  </si>
  <si>
    <t>Гаврилова Анна</t>
  </si>
  <si>
    <t>Гаммал Дмитрий</t>
  </si>
  <si>
    <t>Головастикова Полина</t>
  </si>
  <si>
    <t>Горбунова Вероника</t>
  </si>
  <si>
    <t>Коваленко Елизавета</t>
  </si>
  <si>
    <t>Кольцова Анастасия</t>
  </si>
  <si>
    <t>Крючков Даниил</t>
  </si>
  <si>
    <t>Мельникова Полина</t>
  </si>
  <si>
    <t>Митрохина Анастасия</t>
  </si>
  <si>
    <t>Михайлова Виктория</t>
  </si>
  <si>
    <t>Осипов Даниил</t>
  </si>
  <si>
    <t>Прищенко Артём</t>
  </si>
  <si>
    <t>Рак Андрей</t>
  </si>
  <si>
    <t>Рытикова Кирена</t>
  </si>
  <si>
    <t>Сигорский Александр</t>
  </si>
  <si>
    <t>Субочев Иван</t>
  </si>
  <si>
    <t>Уйданов Лев</t>
  </si>
  <si>
    <t>Цугель Арсений</t>
  </si>
  <si>
    <t>Хабибулин Данил</t>
  </si>
  <si>
    <t>Щетинина Анна</t>
  </si>
  <si>
    <t>Якубович Анна</t>
  </si>
  <si>
    <t>Янбухтина Мария</t>
  </si>
  <si>
    <t>ж</t>
  </si>
  <si>
    <t>м</t>
  </si>
  <si>
    <t>Софья</t>
  </si>
  <si>
    <t>Диера</t>
  </si>
  <si>
    <t>Елизавета</t>
  </si>
  <si>
    <t>Варвара</t>
  </si>
  <si>
    <t>Анна</t>
  </si>
  <si>
    <t>Дмитрий</t>
  </si>
  <si>
    <t>Полина</t>
  </si>
  <si>
    <t>Вероника</t>
  </si>
  <si>
    <t>Богдан</t>
  </si>
  <si>
    <t>Анастасия</t>
  </si>
  <si>
    <t>Даниил</t>
  </si>
  <si>
    <t>Виктория</t>
  </si>
  <si>
    <t>Артём</t>
  </si>
  <si>
    <t>Андрей</t>
  </si>
  <si>
    <t>Кирена</t>
  </si>
  <si>
    <t>Александр</t>
  </si>
  <si>
    <t>Иван</t>
  </si>
  <si>
    <t>Лев</t>
  </si>
  <si>
    <t>Арсений</t>
  </si>
  <si>
    <t>Данил</t>
  </si>
  <si>
    <t>Мария</t>
  </si>
  <si>
    <t>Имя</t>
  </si>
  <si>
    <t>Названия строк</t>
  </si>
  <si>
    <t>Общий итог</t>
  </si>
  <si>
    <t>Число элементов в столбце Имя</t>
  </si>
  <si>
    <t xml:space="preserve">Самые частые </t>
  </si>
  <si>
    <t>2024 год</t>
  </si>
  <si>
    <t>2021-2022</t>
  </si>
  <si>
    <t>Пол</t>
  </si>
  <si>
    <t>Число элементов в столбце Пол</t>
  </si>
  <si>
    <t>08.сен</t>
  </si>
  <si>
    <t>22.сен</t>
  </si>
  <si>
    <t>06.окт</t>
  </si>
  <si>
    <t>Лаб.1</t>
  </si>
  <si>
    <t>20.окт</t>
  </si>
  <si>
    <t>Вар. ЛР</t>
  </si>
  <si>
    <t>27.окт</t>
  </si>
  <si>
    <t>Лаб.2</t>
  </si>
  <si>
    <t>17.ноя</t>
  </si>
  <si>
    <t>Лаб.3</t>
  </si>
  <si>
    <t>РК</t>
  </si>
  <si>
    <t>01.дек</t>
  </si>
  <si>
    <t>Лаб.4</t>
  </si>
  <si>
    <t>22.дек</t>
  </si>
  <si>
    <t>15.дек</t>
  </si>
  <si>
    <t>Дебуля Богдан</t>
  </si>
  <si>
    <t>?</t>
  </si>
  <si>
    <t>*</t>
  </si>
  <si>
    <t>+</t>
  </si>
  <si>
    <t>Встреч</t>
  </si>
  <si>
    <t>Сдали</t>
  </si>
  <si>
    <t>Вовремя</t>
  </si>
  <si>
    <t>Не сдали</t>
  </si>
  <si>
    <t>ЛР1</t>
  </si>
  <si>
    <t>ЛР2</t>
  </si>
  <si>
    <t>Не вовремя</t>
  </si>
  <si>
    <t>Получили задания</t>
  </si>
  <si>
    <t>ЛР3</t>
  </si>
  <si>
    <t>ЛР4</t>
  </si>
  <si>
    <t>Прошли</t>
  </si>
  <si>
    <t>Не прошли</t>
  </si>
  <si>
    <t>1-2</t>
  </si>
  <si>
    <t>Успеваемость по курсу "Модели данных"</t>
  </si>
  <si>
    <t>Выполнение практикума по курсу "Модели данных" студентами группы ИБМ3-34Б (2025)</t>
  </si>
  <si>
    <t>Долги по лабораторной работе №1</t>
  </si>
  <si>
    <t>Ожидание сдачи отчёта по лабораторной работе №2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</si>
</sst>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2"/>
      <color rgb="FF002060"/>
      <name val="Arial"/>
      <family val="2"/>
      <charset val="204"/>
    </font>
    <font>
      <b/>
      <sz val="14"/>
      <color rgb="FF002060"/>
      <name val="Arial"/>
      <family val="2"/>
      <charset val="204"/>
    </font>
    <font>
      <b/>
      <sz val="16"/>
      <color rgb="FF002060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2" borderId="0" xfId="0" applyFill="1" applyAlignment="1">
      <alignment horizontal="left"/>
    </xf>
    <xf numFmtId="9" fontId="0" fillId="0" borderId="0" xfId="0" applyNumberFormat="1"/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16" fontId="0" fillId="0" borderId="0" xfId="0" applyNumberFormat="1"/>
    <xf numFmtId="0" fontId="0" fillId="0" borderId="0" xfId="0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5" borderId="4" xfId="0" applyFill="1" applyBorder="1" applyAlignment="1">
      <alignment horizontal="center" wrapText="1"/>
    </xf>
    <xf numFmtId="0" fontId="0" fillId="5" borderId="0" xfId="0" applyFill="1" applyBorder="1" applyAlignment="1">
      <alignment horizontal="center" wrapText="1"/>
    </xf>
    <xf numFmtId="0" fontId="0" fillId="5" borderId="4" xfId="0" applyFill="1" applyBorder="1" applyAlignment="1">
      <alignment horizontal="center" wrapText="1"/>
    </xf>
    <xf numFmtId="0" fontId="1" fillId="0" borderId="0" xfId="0" applyFont="1"/>
    <xf numFmtId="0" fontId="0" fillId="4" borderId="0" xfId="0" applyFill="1"/>
    <xf numFmtId="0" fontId="0" fillId="4" borderId="0" xfId="0" applyFill="1" applyAlignment="1">
      <alignment horizontal="right"/>
    </xf>
    <xf numFmtId="0" fontId="0" fillId="0" borderId="0" xfId="0" quotePrefix="1" applyAlignment="1">
      <alignment horizontal="center" vertical="center"/>
    </xf>
    <xf numFmtId="0" fontId="0" fillId="6" borderId="0" xfId="0" quotePrefix="1" applyFill="1" applyAlignment="1">
      <alignment horizontal="center" vertical="center"/>
    </xf>
    <xf numFmtId="0" fontId="0" fillId="6" borderId="0" xfId="0" applyFill="1" applyAlignment="1">
      <alignment horizontal="center"/>
    </xf>
    <xf numFmtId="0" fontId="0" fillId="0" borderId="2" xfId="0" applyFont="1" applyBorder="1" applyAlignment="1">
      <alignment horizontal="center"/>
    </xf>
    <xf numFmtId="0" fontId="0" fillId="4" borderId="2" xfId="0" applyFont="1" applyFill="1" applyBorder="1"/>
    <xf numFmtId="0" fontId="0" fillId="0" borderId="2" xfId="0" quotePrefix="1" applyFont="1" applyBorder="1" applyAlignment="1">
      <alignment horizontal="center" vertical="center"/>
    </xf>
    <xf numFmtId="0" fontId="1" fillId="0" borderId="2" xfId="0" applyFont="1" applyBorder="1"/>
    <xf numFmtId="0" fontId="2" fillId="7" borderId="0" xfId="0" applyFont="1" applyFill="1"/>
    <xf numFmtId="16" fontId="2" fillId="7" borderId="0" xfId="0" applyNumberFormat="1" applyFont="1" applyFill="1"/>
    <xf numFmtId="0" fontId="0" fillId="6" borderId="2" xfId="0" quotePrefix="1" applyFont="1" applyFill="1" applyBorder="1" applyAlignment="1">
      <alignment horizontal="center" vertical="center"/>
    </xf>
    <xf numFmtId="0" fontId="0" fillId="6" borderId="2" xfId="0" applyFont="1" applyFill="1" applyBorder="1" applyAlignment="1">
      <alignment horizontal="center"/>
    </xf>
    <xf numFmtId="0" fontId="0" fillId="3" borderId="0" xfId="0" quotePrefix="1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top"/>
    </xf>
    <xf numFmtId="16" fontId="2" fillId="8" borderId="0" xfId="0" applyNumberFormat="1" applyFont="1" applyFill="1"/>
    <xf numFmtId="0" fontId="0" fillId="0" borderId="5" xfId="0" applyBorder="1"/>
    <xf numFmtId="0" fontId="1" fillId="0" borderId="2" xfId="0" applyFont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/>
    <xf numFmtId="0" fontId="1" fillId="0" borderId="0" xfId="0" applyFont="1" applyFill="1" applyAlignment="1">
      <alignment horizontal="center"/>
    </xf>
    <xf numFmtId="0" fontId="1" fillId="0" borderId="0" xfId="0" applyFont="1" applyFill="1"/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/>
    <xf numFmtId="16" fontId="0" fillId="0" borderId="0" xfId="0" quotePrefix="1" applyNumberFormat="1" applyAlignment="1">
      <alignment horizontal="right"/>
    </xf>
    <xf numFmtId="0" fontId="3" fillId="0" borderId="0" xfId="0" applyFont="1" applyAlignment="1">
      <alignment vertical="center"/>
    </xf>
    <xf numFmtId="0" fontId="0" fillId="0" borderId="5" xfId="0" applyBorder="1" applyAlignment="1">
      <alignment horizontal="center" vertical="top"/>
    </xf>
    <xf numFmtId="0" fontId="0" fillId="0" borderId="5" xfId="0" applyFont="1" applyBorder="1" applyAlignment="1">
      <alignment horizontal="center" vertical="top"/>
    </xf>
    <xf numFmtId="0" fontId="0" fillId="0" borderId="5" xfId="0" applyBorder="1" applyAlignment="1">
      <alignment horizontal="right" vertical="top"/>
    </xf>
    <xf numFmtId="0" fontId="4" fillId="0" borderId="0" xfId="0" applyFont="1" applyAlignment="1">
      <alignment vertical="center"/>
    </xf>
    <xf numFmtId="0" fontId="5" fillId="0" borderId="0" xfId="0" applyFont="1"/>
    <xf numFmtId="0" fontId="5" fillId="0" borderId="0" xfId="0" applyFont="1" applyAlignment="1">
      <alignment vertical="center"/>
    </xf>
  </cellXfs>
  <cellStyles count="1">
    <cellStyle name="Обычный" xfId="0" builtinId="0"/>
  </cellStyles>
  <dxfs count="29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>
        <top style="thin">
          <color indexed="64"/>
        </top>
      </border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numFmt numFmtId="13" formatCode="0%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5965.696483680556" backgroundQuery="1" createdVersion="8" refreshedVersion="8" minRefreshableVersion="3" recordCount="0" supportSubquery="1" supportAdvancedDrill="1" xr:uid="{C583A6CF-D594-49FE-9A48-1CB85F8C715D}">
  <cacheSource type="external" connectionId="1"/>
  <cacheFields count="2">
    <cacheField name="[Список].[Имя].[Имя]" caption="Имя" numFmtId="0" hierarchy="2" level="1">
      <sharedItems count="21">
        <s v="Александр"/>
        <s v="Анастасия"/>
        <s v="Андрей"/>
        <s v="Анна"/>
        <s v="Арсений"/>
        <s v="Артём"/>
        <s v="Богдан"/>
        <s v="Варвара"/>
        <s v="Вероника"/>
        <s v="Виктория"/>
        <s v="Даниил"/>
        <s v="Данил"/>
        <s v="Диера"/>
        <s v="Дмитрий"/>
        <s v="Елизавета"/>
        <s v="Иван"/>
        <s v="Кирена"/>
        <s v="Лев"/>
        <s v="Мария"/>
        <s v="Полина"/>
        <s v="Софья"/>
      </sharedItems>
    </cacheField>
    <cacheField name="[Measures].[Число элементов в столбце Имя]" caption="Число элементов в столбце Имя" numFmtId="0" hierarchy="6" level="32767"/>
  </cacheFields>
  <cacheHierarchies count="8">
    <cacheHierarchy uniqueName="[Список].[№]" caption="№" attribute="1" defaultMemberUniqueName="[Список].[№].[All]" allUniqueName="[Список].[№].[All]" dimensionUniqueName="[Список]" displayFolder="" count="0" memberValueDatatype="20" unbalanced="0"/>
    <cacheHierarchy uniqueName="[Список].[Фамилия, имя]" caption="Фамилия, имя" attribute="1" defaultMemberUniqueName="[Список].[Фамилия, имя].[All]" allUniqueName="[Список].[Фамилия, имя].[All]" dimensionUniqueName="[Список]" displayFolder="" count="0" memberValueDatatype="130" unbalanced="0"/>
    <cacheHierarchy uniqueName="[Список].[Имя]" caption="Имя" attribute="1" defaultMemberUniqueName="[Список].[Имя].[All]" allUniqueName="[Список].[Имя].[All]" dimensionUniqueName="[Список]" displayFolder="" count="2" memberValueDatatype="130" unbalanced="0">
      <fieldsUsage count="2">
        <fieldUsage x="-1"/>
        <fieldUsage x="0"/>
      </fieldsUsage>
    </cacheHierarchy>
    <cacheHierarchy uniqueName="[Список].[Пол]" caption="Пол" attribute="1" defaultMemberUniqueName="[Список].[Пол].[All]" allUniqueName="[Список].[Пол].[All]" dimensionUniqueName="[Список]" displayFolder="" count="0" memberValueDatatype="130" unbalanced="0"/>
    <cacheHierarchy uniqueName="[Measures].[__XL_Count Список]" caption="__XL_Count Список" measure="1" displayFolder="" measureGroup="Список" count="0" hidden="1"/>
    <cacheHierarchy uniqueName="[Measures].[__No measures defined]" caption="__No measures defined" measure="1" displayFolder="" count="0" hidden="1"/>
    <cacheHierarchy uniqueName="[Measures].[Число элементов в столбце Имя]" caption="Число элементов в столбце Имя" measure="1" displayFolder="" measureGroup="Список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Число элементов в столбце Пол]" caption="Число элементов в столбце Пол" measure="1" displayFolder="" measureGroup="Список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Список" uniqueName="[Список]" caption="Список"/>
  </dimensions>
  <measureGroups count="1">
    <measureGroup name="Список" caption="Список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5965.697006481481" backgroundQuery="1" createdVersion="8" refreshedVersion="8" minRefreshableVersion="3" recordCount="0" supportSubquery="1" supportAdvancedDrill="1" xr:uid="{36696A1F-E0C7-4150-82C9-EF2ADB9E4612}">
  <cacheSource type="external" connectionId="1"/>
  <cacheFields count="2">
    <cacheField name="[Список].[Пол].[Пол]" caption="Пол" numFmtId="0" hierarchy="3" level="1">
      <sharedItems count="2">
        <s v="ж"/>
        <s v="м"/>
      </sharedItems>
    </cacheField>
    <cacheField name="[Measures].[Число элементов в столбце Пол]" caption="Число элементов в столбце Пол" numFmtId="0" hierarchy="7" level="32767"/>
  </cacheFields>
  <cacheHierarchies count="8">
    <cacheHierarchy uniqueName="[Список].[№]" caption="№" attribute="1" defaultMemberUniqueName="[Список].[№].[All]" allUniqueName="[Список].[№].[All]" dimensionUniqueName="[Список]" displayFolder="" count="0" memberValueDatatype="20" unbalanced="0"/>
    <cacheHierarchy uniqueName="[Список].[Фамилия, имя]" caption="Фамилия, имя" attribute="1" defaultMemberUniqueName="[Список].[Фамилия, имя].[All]" allUniqueName="[Список].[Фамилия, имя].[All]" dimensionUniqueName="[Список]" displayFolder="" count="0" memberValueDatatype="130" unbalanced="0"/>
    <cacheHierarchy uniqueName="[Список].[Имя]" caption="Имя" attribute="1" defaultMemberUniqueName="[Список].[Имя].[All]" allUniqueName="[Список].[Имя].[All]" dimensionUniqueName="[Список]" displayFolder="" count="0" memberValueDatatype="130" unbalanced="0"/>
    <cacheHierarchy uniqueName="[Список].[Пол]" caption="Пол" attribute="1" defaultMemberUniqueName="[Список].[Пол].[All]" allUniqueName="[Список].[Пол].[All]" dimensionUniqueName="[Список]" displayFolder="" count="2" memberValueDatatype="130" unbalanced="0">
      <fieldsUsage count="2">
        <fieldUsage x="-1"/>
        <fieldUsage x="0"/>
      </fieldsUsage>
    </cacheHierarchy>
    <cacheHierarchy uniqueName="[Measures].[__XL_Count Список]" caption="__XL_Count Список" measure="1" displayFolder="" measureGroup="Список" count="0" hidden="1"/>
    <cacheHierarchy uniqueName="[Measures].[__No measures defined]" caption="__No measures defined" measure="1" displayFolder="" count="0" hidden="1"/>
    <cacheHierarchy uniqueName="[Measures].[Число элементов в столбце Имя]" caption="Число элементов в столбце Имя" measure="1" displayFolder="" measureGroup="Список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Число элементов в столбце Пол]" caption="Число элементов в столбце Пол" measure="1" displayFolder="" measureGroup="Список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Список" uniqueName="[Список]" caption="Список"/>
  </dimensions>
  <measureGroups count="1">
    <measureGroup name="Список" caption="Список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4EEC27-7A50-462C-9040-AFBF8765893A}" name="Сводная таблица1" cacheId="36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B25" firstHeaderRow="1" firstDataRow="1" firstDataCol="1"/>
  <pivotFields count="2">
    <pivotField axis="axisRow" allDrilled="1" subtotalTop="0" showAll="0" sortType="descending" defaultSubtotal="0" defaultAttributeDrillState="1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22">
    <i>
      <x v="3"/>
    </i>
    <i>
      <x v="14"/>
    </i>
    <i>
      <x v="19"/>
    </i>
    <i>
      <x v="1"/>
    </i>
    <i>
      <x v="10"/>
    </i>
    <i>
      <x v="20"/>
    </i>
    <i>
      <x v="16"/>
    </i>
    <i>
      <x v="2"/>
    </i>
    <i>
      <x v="6"/>
    </i>
    <i>
      <x v="18"/>
    </i>
    <i>
      <x v="7"/>
    </i>
    <i>
      <x v="13"/>
    </i>
    <i>
      <x v="8"/>
    </i>
    <i>
      <x v="15"/>
    </i>
    <i>
      <x v="9"/>
    </i>
    <i>
      <x v="17"/>
    </i>
    <i>
      <x/>
    </i>
    <i>
      <x v="4"/>
    </i>
    <i>
      <x v="11"/>
    </i>
    <i>
      <x v="5"/>
    </i>
    <i>
      <x v="12"/>
    </i>
    <i t="grand">
      <x/>
    </i>
  </rowItems>
  <colItems count="1">
    <i/>
  </colItems>
  <dataFields count="1">
    <dataField name="Число элементов в столбце Имя" fld="1" subtotal="count" baseField="0" baseItem="0"/>
  </dataFields>
  <formats count="19">
    <format dxfId="28">
      <pivotArea dataOnly="0" labelOnly="1" fieldPosition="0">
        <references count="1">
          <reference field="0" count="1">
            <x v="16"/>
          </reference>
        </references>
      </pivotArea>
    </format>
    <format dxfId="27">
      <pivotArea dataOnly="0" labelOnly="1" fieldPosition="0">
        <references count="1">
          <reference field="0" count="1">
            <x v="6"/>
          </reference>
        </references>
      </pivotArea>
    </format>
    <format dxfId="26">
      <pivotArea dataOnly="0" labelOnly="1" fieldPosition="0">
        <references count="1">
          <reference field="0" count="1">
            <x v="4"/>
          </reference>
        </references>
      </pivotArea>
    </format>
    <format dxfId="25">
      <pivotArea dataOnly="0" labelOnly="1" fieldPosition="0">
        <references count="1">
          <reference field="0" count="1">
            <x v="12"/>
          </reference>
        </references>
      </pivotArea>
    </format>
    <format dxfId="23">
      <pivotArea dataOnly="0" labelOnly="1" fieldPosition="0">
        <references count="1">
          <reference field="0" count="1">
            <x v="3"/>
          </reference>
        </references>
      </pivotArea>
    </format>
    <format dxfId="22">
      <pivotArea dataOnly="0" labelOnly="1" fieldPosition="0">
        <references count="1">
          <reference field="0" count="1">
            <x v="20"/>
          </reference>
        </references>
      </pivotArea>
    </format>
    <format dxfId="21">
      <pivotArea dataOnly="0" labelOnly="1" fieldPosition="0">
        <references count="1">
          <reference field="0" count="1">
            <x v="18"/>
          </reference>
        </references>
      </pivotArea>
    </format>
    <format dxfId="20">
      <pivotArea dataOnly="0" labelOnly="1" fieldPosition="0">
        <references count="1">
          <reference field="0" count="1">
            <x v="9"/>
          </reference>
        </references>
      </pivotArea>
    </format>
    <format dxfId="19">
      <pivotArea dataOnly="0" labelOnly="1" fieldPosition="0">
        <references count="1">
          <reference field="0" count="1">
            <x v="0"/>
          </reference>
        </references>
      </pivotArea>
    </format>
    <format dxfId="18">
      <pivotArea dataOnly="0" labelOnly="1" fieldPosition="0">
        <references count="1">
          <reference field="0" count="1">
            <x v="5"/>
          </reference>
        </references>
      </pivotArea>
    </format>
    <format dxfId="17">
      <pivotArea dataOnly="0" labelOnly="1" fieldPosition="0">
        <references count="1">
          <reference field="0" count="1">
            <x v="16"/>
          </reference>
        </references>
      </pivotArea>
    </format>
    <format dxfId="16">
      <pivotArea dataOnly="0" labelOnly="1" fieldPosition="0">
        <references count="1">
          <reference field="0" count="1">
            <x v="6"/>
          </reference>
        </references>
      </pivotArea>
    </format>
    <format dxfId="15">
      <pivotArea dataOnly="0" labelOnly="1" fieldPosition="0">
        <references count="1">
          <reference field="0" count="1">
            <x v="4"/>
          </reference>
        </references>
      </pivotArea>
    </format>
    <format dxfId="14">
      <pivotArea dataOnly="0" labelOnly="1" fieldPosition="0">
        <references count="1">
          <reference field="0" count="1">
            <x v="12"/>
          </reference>
        </references>
      </pivotArea>
    </format>
    <format dxfId="13">
      <pivotArea dataOnly="0" labelOnly="1" fieldPosition="0">
        <references count="1">
          <reference field="0" count="1">
            <x v="11"/>
          </reference>
        </references>
      </pivotArea>
    </format>
    <format dxfId="12">
      <pivotArea dataOnly="0" labelOnly="1" fieldPosition="0">
        <references count="1">
          <reference field="0" count="4">
            <x v="1"/>
            <x v="10"/>
            <x v="14"/>
            <x v="19"/>
          </reference>
        </references>
      </pivotArea>
    </format>
    <format dxfId="11">
      <pivotArea dataOnly="0" labelOnly="1" fieldPosition="0">
        <references count="1">
          <reference field="0" count="1">
            <x v="2"/>
          </reference>
        </references>
      </pivotArea>
    </format>
    <format dxfId="10">
      <pivotArea dataOnly="0" labelOnly="1" fieldPosition="0">
        <references count="1">
          <reference field="0" count="4">
            <x v="7"/>
            <x v="8"/>
            <x v="13"/>
            <x v="15"/>
          </reference>
        </references>
      </pivotArea>
    </format>
    <format dxfId="9">
      <pivotArea dataOnly="0" labelOnly="1" fieldPosition="0">
        <references count="1">
          <reference field="0" count="1">
            <x v="17"/>
          </reference>
        </references>
      </pivotArea>
    </format>
  </formats>
  <pivotHierarchies count="8"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Книга1!Список">
        <x15:activeTabTopLevelEntity name="[Список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B05A1D-EF9F-4A36-AE67-F086245519DC}" name="Сводная таблица2" cacheId="43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B2:C5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Число элементов в столбце Пол" fld="1" subtotal="count" showDataAs="percentOfTotal" baseField="0" baseItem="0" numFmtId="9"/>
  </dataFields>
  <formats count="1">
    <format dxfId="24">
      <pivotArea outline="0" collapsedLevelsAreSubtotals="1" fieldPosition="0"/>
    </format>
  </formats>
  <pivotHierarchies count="8"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Книга1!Список">
        <x15:activeTabTopLevelEntity name="[Список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7C5EAD-C77A-453B-8729-D544945FA04D}" name="Список" displayName="Список" ref="B4:P32" totalsRowCount="1" totalsRowBorderDxfId="8">
  <autoFilter ref="B4:P31" xr:uid="{9B7C5EAD-C77A-453B-8729-D544945FA04D}"/>
  <tableColumns count="15">
    <tableColumn id="1" xr3:uid="{CE2CA560-4CF7-4157-8882-A770E6F54813}" name="№" totalsRowLabel="ЛР1"/>
    <tableColumn id="2" xr3:uid="{C1941E99-226E-43B6-B6BB-9B3A537694E0}" name="Фамилия, имя"/>
    <tableColumn id="3" xr3:uid="{2E436586-13AA-45AD-BC3D-006EB580B1D0}" name="Имя"/>
    <tableColumn id="4" xr3:uid="{0B7FD963-7740-4607-8E86-605CE7E8BDC3}" name="Пол"/>
    <tableColumn id="9" xr3:uid="{E34E81CE-4B9B-4520-82FB-9E0BA2366445}" name="Вар. ЛР" totalsRowFunction="countNums"/>
    <tableColumn id="5" xr3:uid="{C3618D91-470F-4237-82D5-D447C63A7BC3}" name="08.сен" totalsRowDxfId="7"/>
    <tableColumn id="6" xr3:uid="{0DD2E78C-77D9-47C1-890E-3CDE71AA5FAD}" name="22.сен" totalsRowFunction="countNums" totalsRowDxfId="6"/>
    <tableColumn id="7" xr3:uid="{2079D85D-3BD1-47FE-8933-A645EBC5E6AD}" name="06.окт" totalsRowFunction="countNums" totalsRowDxfId="5"/>
    <tableColumn id="8" xr3:uid="{12643796-0682-4F39-8A78-84C865399C4A}" name="20.окт" totalsRowFunction="custom" totalsRowDxfId="4">
      <totalsRowFormula>COUNTIF(Список[20.окт],1)</totalsRowFormula>
    </tableColumn>
    <tableColumn id="11" xr3:uid="{626486CF-73A5-48E7-BA3E-CE269B506857}" name="17.ноя" totalsRowFunction="custom" totalsRowDxfId="3">
      <totalsRowFormula>COUNTIF(Список[17.ноя],1)</totalsRowFormula>
    </tableColumn>
    <tableColumn id="12" xr3:uid="{99AC48D9-7389-402F-B5E5-0F304A775C73}" name="01.дек" totalsRowFunction="custom" totalsRowDxfId="2">
      <totalsRowFormula>COUNTIF(Список[01.дек],1)</totalsRowFormula>
    </tableColumn>
    <tableColumn id="13" xr3:uid="{7C8748DF-CE82-445F-A3F3-C9DE70F2CE24}" name="15.дек" totalsRowFunction="custom" totalsRowDxfId="1">
      <totalsRowFormula>COUNTIF(Список[15.дек],1)</totalsRowFormula>
    </tableColumn>
    <tableColumn id="14" xr3:uid="{64148C1D-6E39-4F50-9C4F-1BA0C1DDA94E}" name="22.дек" totalsRowFunction="custom" totalsRowDxfId="0">
      <totalsRowFormula>COUNTIF(Список[22.дек],1)</totalsRowFormula>
    </tableColumn>
    <tableColumn id="15" xr3:uid="{EF65407D-70E6-407C-93A8-9D7882B0D503}" name="Встреч">
      <calculatedColumnFormula>COUNTA(Список[[#This Row],[08.сен]:[22.дек]])</calculatedColumnFormula>
    </tableColumn>
    <tableColumn id="16" xr3:uid="{508E45F3-744E-4ED9-8C66-595785AA8AAC}" name="27.окт" totalsRowFunction="countNums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107C6-A28E-45C7-88D2-DC3C81BFA4E4}">
  <dimension ref="B1:F15"/>
  <sheetViews>
    <sheetView showGridLines="0" showRowColHeaders="0" workbookViewId="0"/>
  </sheetViews>
  <sheetFormatPr defaultRowHeight="15" x14ac:dyDescent="0.25"/>
  <cols>
    <col min="4" max="4" width="10.42578125" customWidth="1"/>
    <col min="5" max="5" width="12.7109375" customWidth="1"/>
    <col min="6" max="6" width="10.7109375" customWidth="1"/>
  </cols>
  <sheetData>
    <row r="1" spans="2:6" ht="29.25" customHeight="1" x14ac:dyDescent="0.25">
      <c r="B1" s="52" t="s">
        <v>92</v>
      </c>
      <c r="C1" s="46"/>
      <c r="D1" s="46"/>
      <c r="E1" s="46"/>
      <c r="F1" s="46"/>
    </row>
    <row r="2" spans="2:6" x14ac:dyDescent="0.25">
      <c r="B2" t="s">
        <v>86</v>
      </c>
      <c r="D2">
        <v>26</v>
      </c>
    </row>
    <row r="4" spans="2:6" x14ac:dyDescent="0.25">
      <c r="B4" s="35"/>
      <c r="C4" s="47" t="s">
        <v>80</v>
      </c>
      <c r="D4" s="47" t="s">
        <v>81</v>
      </c>
      <c r="E4" s="47" t="s">
        <v>85</v>
      </c>
      <c r="F4" s="47" t="s">
        <v>82</v>
      </c>
    </row>
    <row r="5" spans="2:6" x14ac:dyDescent="0.25">
      <c r="B5" s="48" t="s">
        <v>83</v>
      </c>
      <c r="C5" s="37">
        <f>SUM(Список[[#Totals],[22.сен]:[22.дек]])</f>
        <v>20</v>
      </c>
      <c r="D5" s="37">
        <f>SUM(Список[[#Totals],[22.сен]:[06.окт]])</f>
        <v>12</v>
      </c>
      <c r="E5" s="49">
        <f>C5-D5</f>
        <v>8</v>
      </c>
      <c r="F5" s="37">
        <f>$D$2-C5</f>
        <v>6</v>
      </c>
    </row>
    <row r="6" spans="2:6" x14ac:dyDescent="0.25">
      <c r="B6" s="48" t="s">
        <v>84</v>
      </c>
      <c r="C6" s="37">
        <f>SUM(Список!J33:N33)</f>
        <v>10</v>
      </c>
      <c r="D6" s="37">
        <f>SUM(Список!J33:K33)</f>
        <v>10</v>
      </c>
      <c r="E6" s="49">
        <f>C6-D6</f>
        <v>0</v>
      </c>
      <c r="F6" s="37">
        <f>$D$2-C6</f>
        <v>16</v>
      </c>
    </row>
    <row r="7" spans="2:6" x14ac:dyDescent="0.25">
      <c r="B7" s="48" t="s">
        <v>87</v>
      </c>
      <c r="C7" s="37">
        <f>SUM(Список!K34:N34)</f>
        <v>0</v>
      </c>
      <c r="D7" s="37">
        <f>SUM(Список!K34:M34)</f>
        <v>0</v>
      </c>
      <c r="E7" s="49">
        <f>C7-D7</f>
        <v>0</v>
      </c>
      <c r="F7" s="37">
        <f>$D$2-C7</f>
        <v>26</v>
      </c>
    </row>
    <row r="8" spans="2:6" x14ac:dyDescent="0.25">
      <c r="B8" s="48" t="s">
        <v>88</v>
      </c>
      <c r="C8" s="37">
        <f>SUM(Список!K35:N35)</f>
        <v>0</v>
      </c>
      <c r="D8" s="37">
        <f>SUM(Список!K35:N35)</f>
        <v>0</v>
      </c>
      <c r="E8" s="49">
        <f>C8-D8</f>
        <v>0</v>
      </c>
      <c r="F8" s="37">
        <f>$D$2-C8</f>
        <v>26</v>
      </c>
    </row>
    <row r="10" spans="2:6" x14ac:dyDescent="0.25">
      <c r="B10" s="35" t="s">
        <v>70</v>
      </c>
      <c r="C10" t="s">
        <v>89</v>
      </c>
      <c r="D10" t="s">
        <v>90</v>
      </c>
    </row>
    <row r="11" spans="2:6" x14ac:dyDescent="0.25">
      <c r="C11">
        <f>Список[[#Totals],[27.окт]]</f>
        <v>14</v>
      </c>
      <c r="D11">
        <f>$D$2-C11</f>
        <v>12</v>
      </c>
    </row>
    <row r="12" spans="2:6" x14ac:dyDescent="0.25">
      <c r="B12">
        <v>5</v>
      </c>
      <c r="C12">
        <f>Список!P33</f>
        <v>5</v>
      </c>
    </row>
    <row r="13" spans="2:6" x14ac:dyDescent="0.25">
      <c r="B13">
        <v>4</v>
      </c>
      <c r="C13">
        <f>Список!P34</f>
        <v>7</v>
      </c>
    </row>
    <row r="14" spans="2:6" x14ac:dyDescent="0.25">
      <c r="B14">
        <v>3</v>
      </c>
      <c r="C14">
        <f>Список!P35</f>
        <v>2</v>
      </c>
    </row>
    <row r="15" spans="2:6" x14ac:dyDescent="0.25">
      <c r="B15" s="45" t="s">
        <v>91</v>
      </c>
      <c r="C15">
        <f>Список!P36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DDDD8-2CDE-442A-B5F7-25D4B75AD692}">
  <dimension ref="B1:J12"/>
  <sheetViews>
    <sheetView showGridLines="0" showRowColHeaders="0" workbookViewId="0"/>
  </sheetViews>
  <sheetFormatPr defaultRowHeight="15" x14ac:dyDescent="0.25"/>
  <cols>
    <col min="2" max="2" width="5.42578125" customWidth="1"/>
    <col min="3" max="3" width="24" customWidth="1"/>
    <col min="4" max="4" width="9.85546875" customWidth="1"/>
    <col min="5" max="5" width="9" customWidth="1"/>
    <col min="9" max="9" width="13" customWidth="1"/>
    <col min="10" max="10" width="12.42578125" customWidth="1"/>
  </cols>
  <sheetData>
    <row r="1" spans="2:10" ht="22.5" customHeight="1" x14ac:dyDescent="0.35">
      <c r="B1" s="51" t="s">
        <v>94</v>
      </c>
    </row>
    <row r="2" spans="2:10" x14ac:dyDescent="0.25">
      <c r="E2" s="13" t="s">
        <v>63</v>
      </c>
      <c r="F2" s="13"/>
      <c r="G2" s="14" t="s">
        <v>67</v>
      </c>
      <c r="H2" s="15"/>
      <c r="I2" s="18" t="s">
        <v>70</v>
      </c>
    </row>
    <row r="3" spans="2:10" ht="9" hidden="1" customHeight="1" x14ac:dyDescent="0.25"/>
    <row r="4" spans="2:10" x14ac:dyDescent="0.25">
      <c r="B4" s="29" t="s">
        <v>3</v>
      </c>
      <c r="C4" s="29" t="s">
        <v>2</v>
      </c>
      <c r="D4" s="29" t="s">
        <v>65</v>
      </c>
      <c r="E4" s="30" t="s">
        <v>60</v>
      </c>
      <c r="F4" s="30" t="s">
        <v>61</v>
      </c>
      <c r="G4" s="30" t="s">
        <v>62</v>
      </c>
      <c r="H4" s="30" t="s">
        <v>64</v>
      </c>
      <c r="I4" s="30" t="s">
        <v>66</v>
      </c>
      <c r="J4" s="30" t="s">
        <v>79</v>
      </c>
    </row>
    <row r="5" spans="2:10" x14ac:dyDescent="0.25">
      <c r="B5" s="1">
        <v>1</v>
      </c>
      <c r="C5" s="2" t="s">
        <v>0</v>
      </c>
      <c r="D5" s="2">
        <v>11</v>
      </c>
      <c r="E5" s="25" t="s">
        <v>77</v>
      </c>
      <c r="F5" s="25" t="s">
        <v>77</v>
      </c>
      <c r="G5" s="2"/>
      <c r="H5" s="26"/>
      <c r="I5" s="2"/>
      <c r="J5" s="3">
        <v>2</v>
      </c>
    </row>
    <row r="6" spans="2:10" x14ac:dyDescent="0.25">
      <c r="B6" s="1">
        <v>2</v>
      </c>
      <c r="C6" s="2" t="s">
        <v>1</v>
      </c>
      <c r="D6" s="2">
        <v>11</v>
      </c>
      <c r="E6" s="25" t="s">
        <v>77</v>
      </c>
      <c r="F6" s="2"/>
      <c r="G6" s="2"/>
      <c r="H6" s="26"/>
      <c r="I6" s="2"/>
      <c r="J6" s="3">
        <v>1</v>
      </c>
    </row>
    <row r="7" spans="2:10" x14ac:dyDescent="0.25">
      <c r="B7" s="1">
        <v>7</v>
      </c>
      <c r="C7" s="2" t="s">
        <v>8</v>
      </c>
      <c r="D7" s="2">
        <v>4</v>
      </c>
      <c r="E7" s="25" t="s">
        <v>77</v>
      </c>
      <c r="F7" s="27" t="s">
        <v>78</v>
      </c>
      <c r="G7" s="27" t="s">
        <v>78</v>
      </c>
      <c r="H7" s="26"/>
      <c r="I7" s="2">
        <v>3</v>
      </c>
      <c r="J7" s="3">
        <v>4</v>
      </c>
    </row>
    <row r="8" spans="2:10" x14ac:dyDescent="0.25">
      <c r="B8" s="1">
        <v>9</v>
      </c>
      <c r="C8" s="2" t="s">
        <v>75</v>
      </c>
      <c r="D8" s="26"/>
      <c r="E8" s="25"/>
      <c r="F8" s="2"/>
      <c r="G8" s="2"/>
      <c r="H8" s="26"/>
      <c r="I8" s="2"/>
      <c r="J8" s="3">
        <v>0</v>
      </c>
    </row>
    <row r="9" spans="2:10" x14ac:dyDescent="0.25">
      <c r="B9" s="1">
        <v>12</v>
      </c>
      <c r="C9" s="28" t="s">
        <v>12</v>
      </c>
      <c r="D9" s="2">
        <v>7</v>
      </c>
      <c r="E9" s="25" t="s">
        <v>77</v>
      </c>
      <c r="F9" s="2"/>
      <c r="G9" s="27" t="s">
        <v>78</v>
      </c>
      <c r="H9" s="26"/>
      <c r="I9" s="2">
        <v>4</v>
      </c>
      <c r="J9" s="3">
        <v>3</v>
      </c>
    </row>
    <row r="10" spans="2:10" x14ac:dyDescent="0.25">
      <c r="B10" s="1">
        <v>19</v>
      </c>
      <c r="C10" s="2" t="s">
        <v>19</v>
      </c>
      <c r="D10" s="2">
        <v>4</v>
      </c>
      <c r="E10" s="25" t="s">
        <v>77</v>
      </c>
      <c r="F10" s="27" t="s">
        <v>78</v>
      </c>
      <c r="G10" s="27" t="s">
        <v>78</v>
      </c>
      <c r="H10" s="26"/>
      <c r="I10" s="2">
        <v>4</v>
      </c>
      <c r="J10" s="3">
        <v>4</v>
      </c>
    </row>
    <row r="11" spans="2:10" x14ac:dyDescent="0.25">
      <c r="B11" s="1">
        <v>24</v>
      </c>
      <c r="C11" s="2" t="s">
        <v>24</v>
      </c>
      <c r="D11" s="2">
        <v>7</v>
      </c>
      <c r="E11" s="25" t="s">
        <v>77</v>
      </c>
      <c r="F11" s="2"/>
      <c r="G11" s="27" t="s">
        <v>78</v>
      </c>
      <c r="H11" s="26"/>
      <c r="I11" s="2"/>
      <c r="J11" s="3">
        <v>2</v>
      </c>
    </row>
    <row r="12" spans="2:10" x14ac:dyDescent="0.25">
      <c r="C12">
        <f>COUNTA(C5:C11)</f>
        <v>7</v>
      </c>
    </row>
  </sheetData>
  <mergeCells count="2">
    <mergeCell ref="E2:F2"/>
    <mergeCell ref="G2:H2"/>
  </mergeCells>
  <conditionalFormatting sqref="I5:I11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{1647FB63-1F4F-4E19-9E4E-E5D332B0A7A4}</x14:id>
        </ext>
      </extLst>
    </cfRule>
  </conditionalFormatting>
  <conditionalFormatting sqref="J5:J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647FB63-1F4F-4E19-9E4E-E5D332B0A7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I5:I11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ECE84-934A-41A2-A516-5CF18C8AC636}">
  <dimension ref="B1:J15"/>
  <sheetViews>
    <sheetView showGridLines="0" showRowColHeaders="0" workbookViewId="0"/>
  </sheetViews>
  <sheetFormatPr defaultRowHeight="15" x14ac:dyDescent="0.25"/>
  <cols>
    <col min="3" max="3" width="22.5703125" customWidth="1"/>
    <col min="4" max="4" width="7.85546875" customWidth="1"/>
  </cols>
  <sheetData>
    <row r="1" spans="2:10" ht="24.75" customHeight="1" x14ac:dyDescent="0.35">
      <c r="B1" s="51" t="s">
        <v>95</v>
      </c>
    </row>
    <row r="2" spans="2:10" x14ac:dyDescent="0.25">
      <c r="E2" s="13" t="s">
        <v>63</v>
      </c>
      <c r="F2" s="13"/>
      <c r="G2" s="14" t="s">
        <v>67</v>
      </c>
      <c r="H2" s="15"/>
      <c r="I2" s="18" t="s">
        <v>70</v>
      </c>
    </row>
    <row r="3" spans="2:10" ht="8.25" hidden="1" customHeight="1" x14ac:dyDescent="0.25"/>
    <row r="4" spans="2:10" x14ac:dyDescent="0.25">
      <c r="B4" s="29" t="s">
        <v>3</v>
      </c>
      <c r="C4" s="29" t="s">
        <v>2</v>
      </c>
      <c r="D4" s="29" t="s">
        <v>65</v>
      </c>
      <c r="E4" s="30" t="s">
        <v>60</v>
      </c>
      <c r="F4" s="30" t="s">
        <v>61</v>
      </c>
      <c r="G4" s="30" t="s">
        <v>62</v>
      </c>
      <c r="H4" s="30" t="s">
        <v>64</v>
      </c>
      <c r="I4" s="30" t="s">
        <v>66</v>
      </c>
      <c r="J4" s="30" t="s">
        <v>79</v>
      </c>
    </row>
    <row r="5" spans="2:10" x14ac:dyDescent="0.25">
      <c r="B5" s="1">
        <v>3</v>
      </c>
      <c r="C5" s="2" t="s">
        <v>4</v>
      </c>
      <c r="D5" s="2">
        <v>1</v>
      </c>
      <c r="E5" s="25" t="s">
        <v>77</v>
      </c>
      <c r="F5" s="27" t="s">
        <v>78</v>
      </c>
      <c r="G5" s="25">
        <v>1</v>
      </c>
      <c r="H5" s="31" t="s">
        <v>78</v>
      </c>
      <c r="I5" s="2">
        <v>3</v>
      </c>
      <c r="J5" s="3">
        <v>5</v>
      </c>
    </row>
    <row r="6" spans="2:10" x14ac:dyDescent="0.25">
      <c r="B6" s="1">
        <v>4</v>
      </c>
      <c r="C6" s="2" t="s">
        <v>5</v>
      </c>
      <c r="D6" s="2">
        <v>18</v>
      </c>
      <c r="E6" s="25" t="s">
        <v>77</v>
      </c>
      <c r="F6" s="25" t="s">
        <v>77</v>
      </c>
      <c r="G6" s="2"/>
      <c r="H6" s="32">
        <v>1</v>
      </c>
      <c r="I6" s="2"/>
      <c r="J6" s="3">
        <v>3</v>
      </c>
    </row>
    <row r="7" spans="2:10" x14ac:dyDescent="0.25">
      <c r="B7" s="1">
        <v>5</v>
      </c>
      <c r="C7" s="2" t="s">
        <v>6</v>
      </c>
      <c r="D7" s="2">
        <v>2</v>
      </c>
      <c r="E7" s="25" t="s">
        <v>77</v>
      </c>
      <c r="F7" s="27" t="s">
        <v>78</v>
      </c>
      <c r="G7" s="2"/>
      <c r="H7" s="32">
        <v>1</v>
      </c>
      <c r="I7" s="2">
        <v>4</v>
      </c>
      <c r="J7" s="3">
        <v>4</v>
      </c>
    </row>
    <row r="8" spans="2:10" x14ac:dyDescent="0.25">
      <c r="B8" s="1">
        <v>14</v>
      </c>
      <c r="C8" s="2" t="s">
        <v>14</v>
      </c>
      <c r="D8" s="2">
        <v>18</v>
      </c>
      <c r="E8" s="25" t="s">
        <v>77</v>
      </c>
      <c r="F8" s="25" t="s">
        <v>77</v>
      </c>
      <c r="G8" s="2"/>
      <c r="H8" s="32">
        <v>1</v>
      </c>
      <c r="I8" s="2"/>
      <c r="J8" s="3">
        <v>3</v>
      </c>
    </row>
    <row r="9" spans="2:10" x14ac:dyDescent="0.25">
      <c r="B9" s="1">
        <v>15</v>
      </c>
      <c r="C9" s="2" t="s">
        <v>15</v>
      </c>
      <c r="D9" s="2">
        <v>8</v>
      </c>
      <c r="E9" s="25" t="s">
        <v>77</v>
      </c>
      <c r="F9" s="25" t="s">
        <v>77</v>
      </c>
      <c r="G9" s="2"/>
      <c r="H9" s="32">
        <v>1</v>
      </c>
      <c r="I9" s="2"/>
      <c r="J9" s="3">
        <v>3</v>
      </c>
    </row>
    <row r="10" spans="2:10" x14ac:dyDescent="0.25">
      <c r="B10" s="1">
        <v>16</v>
      </c>
      <c r="C10" s="2" t="s">
        <v>16</v>
      </c>
      <c r="D10" s="2">
        <v>8</v>
      </c>
      <c r="E10" s="25" t="s">
        <v>77</v>
      </c>
      <c r="F10" s="25" t="s">
        <v>77</v>
      </c>
      <c r="G10" s="2"/>
      <c r="H10" s="32">
        <v>1</v>
      </c>
      <c r="I10" s="2"/>
      <c r="J10" s="3">
        <v>3</v>
      </c>
    </row>
    <row r="11" spans="2:10" x14ac:dyDescent="0.25">
      <c r="B11" s="1">
        <v>21</v>
      </c>
      <c r="C11" s="2" t="s">
        <v>21</v>
      </c>
      <c r="D11" s="2">
        <v>21</v>
      </c>
      <c r="E11" s="25" t="s">
        <v>77</v>
      </c>
      <c r="F11" s="25" t="s">
        <v>77</v>
      </c>
      <c r="G11" s="27" t="s">
        <v>78</v>
      </c>
      <c r="H11" s="32">
        <v>1</v>
      </c>
      <c r="I11" s="2"/>
      <c r="J11" s="3">
        <v>4</v>
      </c>
    </row>
    <row r="12" spans="2:10" x14ac:dyDescent="0.25">
      <c r="B12" s="1">
        <v>22</v>
      </c>
      <c r="C12" s="2" t="s">
        <v>22</v>
      </c>
      <c r="D12" s="2">
        <v>2</v>
      </c>
      <c r="E12" s="25" t="s">
        <v>77</v>
      </c>
      <c r="F12" s="27" t="s">
        <v>78</v>
      </c>
      <c r="G12" s="2"/>
      <c r="H12" s="32">
        <v>1</v>
      </c>
      <c r="I12" s="2">
        <v>5</v>
      </c>
      <c r="J12" s="3">
        <v>4</v>
      </c>
    </row>
    <row r="13" spans="2:10" x14ac:dyDescent="0.25">
      <c r="B13" s="1">
        <v>23</v>
      </c>
      <c r="C13" s="2" t="s">
        <v>23</v>
      </c>
      <c r="D13" s="2">
        <v>21</v>
      </c>
      <c r="E13" s="25" t="s">
        <v>77</v>
      </c>
      <c r="F13" s="2"/>
      <c r="G13" s="27" t="s">
        <v>78</v>
      </c>
      <c r="H13" s="32">
        <v>1</v>
      </c>
      <c r="I13" s="2">
        <v>4</v>
      </c>
      <c r="J13" s="3">
        <v>4</v>
      </c>
    </row>
    <row r="14" spans="2:10" x14ac:dyDescent="0.25">
      <c r="B14" s="1">
        <v>27</v>
      </c>
      <c r="C14" s="2" t="s">
        <v>27</v>
      </c>
      <c r="D14" s="2">
        <v>1</v>
      </c>
      <c r="E14" s="25" t="s">
        <v>77</v>
      </c>
      <c r="F14" s="27" t="s">
        <v>78</v>
      </c>
      <c r="G14" s="25">
        <v>1</v>
      </c>
      <c r="H14" s="31" t="s">
        <v>78</v>
      </c>
      <c r="I14" s="2">
        <v>4</v>
      </c>
      <c r="J14" s="3">
        <v>5</v>
      </c>
    </row>
    <row r="15" spans="2:10" x14ac:dyDescent="0.25">
      <c r="C15">
        <f>COUNTA(C5:C14)</f>
        <v>10</v>
      </c>
    </row>
  </sheetData>
  <mergeCells count="2">
    <mergeCell ref="E2:F2"/>
    <mergeCell ref="G2:H2"/>
  </mergeCells>
  <conditionalFormatting sqref="I5:I14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{FF8E8B48-1AB9-4911-8A72-8F2129490C7B}</x14:id>
        </ext>
      </extLst>
    </cfRule>
  </conditionalFormatting>
  <conditionalFormatting sqref="J5:J1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F8E8B48-1AB9-4911-8A72-8F2129490C7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I5:I14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63C8B-AD0A-4AF6-ADB3-C3544067CA87}">
  <dimension ref="B1:P36"/>
  <sheetViews>
    <sheetView showGridLines="0" showRowColHeaders="0" tabSelected="1" workbookViewId="0">
      <pane xSplit="17" ySplit="4" topLeftCell="R16" activePane="bottomRight" state="frozen"/>
      <selection pane="topRight" activeCell="R1" sqref="R1"/>
      <selection pane="bottomLeft" activeCell="A5" sqref="A5"/>
      <selection pane="bottomRight"/>
    </sheetView>
  </sheetViews>
  <sheetFormatPr defaultRowHeight="15" x14ac:dyDescent="0.25"/>
  <cols>
    <col min="1" max="1" width="6.42578125" customWidth="1"/>
    <col min="2" max="2" width="5.42578125" customWidth="1"/>
    <col min="3" max="3" width="24" customWidth="1"/>
    <col min="4" max="4" width="13" hidden="1" customWidth="1"/>
    <col min="5" max="5" width="6.7109375" hidden="1" customWidth="1"/>
    <col min="6" max="6" width="9.85546875" customWidth="1"/>
    <col min="7" max="7" width="9" customWidth="1"/>
    <col min="11" max="14" width="9.140625" customWidth="1"/>
    <col min="15" max="15" width="12.42578125" customWidth="1"/>
    <col min="16" max="16" width="13.7109375" customWidth="1"/>
  </cols>
  <sheetData>
    <row r="1" spans="2:16" ht="26.25" customHeight="1" x14ac:dyDescent="0.25">
      <c r="C1" s="50" t="s">
        <v>93</v>
      </c>
    </row>
    <row r="2" spans="2:16" ht="17.25" customHeight="1" x14ac:dyDescent="0.25">
      <c r="G2" s="13" t="s">
        <v>63</v>
      </c>
      <c r="H2" s="13"/>
      <c r="I2" s="14" t="s">
        <v>67</v>
      </c>
      <c r="J2" s="15"/>
      <c r="K2" s="16" t="s">
        <v>69</v>
      </c>
      <c r="L2" s="17"/>
      <c r="M2" s="14" t="s">
        <v>72</v>
      </c>
      <c r="N2" s="15"/>
      <c r="P2" s="18" t="s">
        <v>70</v>
      </c>
    </row>
    <row r="3" spans="2:16" ht="7.5" customHeight="1" x14ac:dyDescent="0.25"/>
    <row r="4" spans="2:16" x14ac:dyDescent="0.25">
      <c r="B4" t="s">
        <v>3</v>
      </c>
      <c r="C4" t="s">
        <v>2</v>
      </c>
      <c r="D4" t="s">
        <v>51</v>
      </c>
      <c r="E4" t="s">
        <v>58</v>
      </c>
      <c r="F4" t="s">
        <v>65</v>
      </c>
      <c r="G4" s="11" t="s">
        <v>60</v>
      </c>
      <c r="H4" s="11" t="s">
        <v>61</v>
      </c>
      <c r="I4" s="11" t="s">
        <v>62</v>
      </c>
      <c r="J4" s="11" t="s">
        <v>64</v>
      </c>
      <c r="K4" s="11" t="s">
        <v>68</v>
      </c>
      <c r="L4" s="11" t="s">
        <v>71</v>
      </c>
      <c r="M4" s="11" t="s">
        <v>74</v>
      </c>
      <c r="N4" s="11" t="s">
        <v>73</v>
      </c>
      <c r="O4" t="s">
        <v>79</v>
      </c>
      <c r="P4" s="36" t="s">
        <v>66</v>
      </c>
    </row>
    <row r="5" spans="2:16" x14ac:dyDescent="0.25">
      <c r="B5">
        <v>1</v>
      </c>
      <c r="C5" t="s">
        <v>0</v>
      </c>
      <c r="D5" t="s">
        <v>30</v>
      </c>
      <c r="E5" t="s">
        <v>28</v>
      </c>
      <c r="F5">
        <v>11</v>
      </c>
      <c r="G5" s="12" t="s">
        <v>77</v>
      </c>
      <c r="H5" s="12" t="s">
        <v>77</v>
      </c>
      <c r="J5" s="20"/>
      <c r="O5">
        <f>COUNTA(Список[[#This Row],[08.сен]:[22.дек]])</f>
        <v>2</v>
      </c>
    </row>
    <row r="6" spans="2:16" x14ac:dyDescent="0.25">
      <c r="B6">
        <v>2</v>
      </c>
      <c r="C6" t="s">
        <v>1</v>
      </c>
      <c r="D6" t="s">
        <v>31</v>
      </c>
      <c r="E6" t="s">
        <v>28</v>
      </c>
      <c r="F6">
        <v>11</v>
      </c>
      <c r="G6" s="12" t="s">
        <v>77</v>
      </c>
      <c r="J6" s="20"/>
      <c r="O6">
        <f>COUNTA(Список[[#This Row],[08.сен]:[22.дек]])</f>
        <v>1</v>
      </c>
    </row>
    <row r="7" spans="2:16" x14ac:dyDescent="0.25">
      <c r="B7">
        <v>3</v>
      </c>
      <c r="C7" t="s">
        <v>4</v>
      </c>
      <c r="D7" t="s">
        <v>32</v>
      </c>
      <c r="E7" t="s">
        <v>28</v>
      </c>
      <c r="F7">
        <v>1</v>
      </c>
      <c r="G7" s="12" t="s">
        <v>77</v>
      </c>
      <c r="H7" s="22" t="s">
        <v>78</v>
      </c>
      <c r="I7" s="34">
        <v>1</v>
      </c>
      <c r="J7" s="23" t="s">
        <v>78</v>
      </c>
      <c r="O7">
        <f>COUNTA(Список[[#This Row],[08.сен]:[22.дек]])</f>
        <v>4</v>
      </c>
      <c r="P7">
        <v>3</v>
      </c>
    </row>
    <row r="8" spans="2:16" x14ac:dyDescent="0.25">
      <c r="B8">
        <v>4</v>
      </c>
      <c r="C8" t="s">
        <v>5</v>
      </c>
      <c r="D8" t="s">
        <v>33</v>
      </c>
      <c r="E8" t="s">
        <v>28</v>
      </c>
      <c r="F8">
        <v>18</v>
      </c>
      <c r="G8" s="12" t="s">
        <v>77</v>
      </c>
      <c r="H8" s="12" t="s">
        <v>77</v>
      </c>
      <c r="J8" s="24">
        <v>1</v>
      </c>
      <c r="O8">
        <f>COUNTA(Список[[#This Row],[08.сен]:[22.дек]])</f>
        <v>3</v>
      </c>
    </row>
    <row r="9" spans="2:16" x14ac:dyDescent="0.25">
      <c r="B9">
        <v>5</v>
      </c>
      <c r="C9" t="s">
        <v>6</v>
      </c>
      <c r="D9" t="s">
        <v>34</v>
      </c>
      <c r="E9" t="s">
        <v>28</v>
      </c>
      <c r="F9">
        <v>2</v>
      </c>
      <c r="G9" s="12" t="s">
        <v>77</v>
      </c>
      <c r="H9" s="22" t="s">
        <v>78</v>
      </c>
      <c r="J9" s="24">
        <v>1</v>
      </c>
      <c r="O9">
        <f>COUNTA(Список[[#This Row],[08.сен]:[22.дек]])</f>
        <v>3</v>
      </c>
      <c r="P9">
        <v>4</v>
      </c>
    </row>
    <row r="10" spans="2:16" x14ac:dyDescent="0.25">
      <c r="B10">
        <v>6</v>
      </c>
      <c r="C10" t="s">
        <v>7</v>
      </c>
      <c r="D10" t="s">
        <v>35</v>
      </c>
      <c r="E10" t="s">
        <v>29</v>
      </c>
      <c r="F10">
        <v>3</v>
      </c>
      <c r="G10" s="12" t="s">
        <v>77</v>
      </c>
      <c r="H10" s="33">
        <v>1</v>
      </c>
      <c r="J10" s="34">
        <v>2</v>
      </c>
      <c r="O10">
        <f>COUNTA(Список[[#This Row],[08.сен]:[22.дек]])</f>
        <v>3</v>
      </c>
      <c r="P10">
        <v>5</v>
      </c>
    </row>
    <row r="11" spans="2:16" x14ac:dyDescent="0.25">
      <c r="B11">
        <v>7</v>
      </c>
      <c r="C11" t="s">
        <v>8</v>
      </c>
      <c r="D11" t="s">
        <v>36</v>
      </c>
      <c r="E11" t="s">
        <v>28</v>
      </c>
      <c r="F11">
        <v>4</v>
      </c>
      <c r="G11" s="12" t="s">
        <v>77</v>
      </c>
      <c r="H11" s="22" t="s">
        <v>78</v>
      </c>
      <c r="I11" s="22" t="s">
        <v>78</v>
      </c>
      <c r="J11" s="20"/>
      <c r="O11">
        <f>COUNTA(Список[[#This Row],[08.сен]:[22.дек]])</f>
        <v>3</v>
      </c>
      <c r="P11">
        <v>3</v>
      </c>
    </row>
    <row r="12" spans="2:16" x14ac:dyDescent="0.25">
      <c r="B12">
        <v>8</v>
      </c>
      <c r="C12" t="s">
        <v>9</v>
      </c>
      <c r="D12" t="s">
        <v>37</v>
      </c>
      <c r="E12" t="s">
        <v>28</v>
      </c>
      <c r="F12">
        <v>15</v>
      </c>
      <c r="G12" s="12" t="s">
        <v>77</v>
      </c>
      <c r="H12" s="33">
        <v>1</v>
      </c>
      <c r="I12" s="22" t="s">
        <v>78</v>
      </c>
      <c r="J12" s="34">
        <v>2</v>
      </c>
      <c r="O12">
        <f>COUNTA(Список[[#This Row],[08.сен]:[22.дек]])</f>
        <v>4</v>
      </c>
      <c r="P12">
        <v>5</v>
      </c>
    </row>
    <row r="13" spans="2:16" x14ac:dyDescent="0.25">
      <c r="B13">
        <v>9</v>
      </c>
      <c r="C13" t="s">
        <v>75</v>
      </c>
      <c r="D13" t="s">
        <v>38</v>
      </c>
      <c r="E13" t="s">
        <v>29</v>
      </c>
      <c r="F13" s="20"/>
      <c r="G13" s="12"/>
      <c r="J13" s="20"/>
      <c r="O13">
        <f>COUNTA(Список[[#This Row],[08.сен]:[22.дек]])</f>
        <v>0</v>
      </c>
    </row>
    <row r="14" spans="2:16" x14ac:dyDescent="0.25">
      <c r="B14">
        <v>10</v>
      </c>
      <c r="C14" t="s">
        <v>10</v>
      </c>
      <c r="D14" t="s">
        <v>32</v>
      </c>
      <c r="E14" t="s">
        <v>28</v>
      </c>
      <c r="F14">
        <v>6</v>
      </c>
      <c r="G14" s="12" t="s">
        <v>77</v>
      </c>
      <c r="I14" s="34">
        <v>1</v>
      </c>
      <c r="J14" s="34">
        <v>2</v>
      </c>
      <c r="O14">
        <f>COUNTA(Список[[#This Row],[08.сен]:[22.дек]])</f>
        <v>3</v>
      </c>
      <c r="P14">
        <v>4</v>
      </c>
    </row>
    <row r="15" spans="2:16" x14ac:dyDescent="0.25">
      <c r="B15">
        <v>11</v>
      </c>
      <c r="C15" t="s">
        <v>11</v>
      </c>
      <c r="D15" t="s">
        <v>39</v>
      </c>
      <c r="E15" t="s">
        <v>28</v>
      </c>
      <c r="F15" s="21" t="s">
        <v>76</v>
      </c>
      <c r="G15" s="12"/>
      <c r="I15" s="34">
        <v>1</v>
      </c>
      <c r="J15" s="34">
        <v>2</v>
      </c>
      <c r="O15">
        <f>COUNTA(Список[[#This Row],[08.сен]:[22.дек]])</f>
        <v>2</v>
      </c>
      <c r="P15">
        <v>5</v>
      </c>
    </row>
    <row r="16" spans="2:16" x14ac:dyDescent="0.25">
      <c r="B16">
        <v>12</v>
      </c>
      <c r="C16" s="19" t="s">
        <v>12</v>
      </c>
      <c r="D16" t="s">
        <v>40</v>
      </c>
      <c r="E16" t="s">
        <v>29</v>
      </c>
      <c r="F16">
        <v>7</v>
      </c>
      <c r="G16" s="12" t="s">
        <v>77</v>
      </c>
      <c r="I16" s="22" t="s">
        <v>78</v>
      </c>
      <c r="J16" s="20"/>
      <c r="O16">
        <f>COUNTA(Список[[#This Row],[08.сен]:[22.дек]])</f>
        <v>2</v>
      </c>
      <c r="P16">
        <v>4</v>
      </c>
    </row>
    <row r="17" spans="2:16" x14ac:dyDescent="0.25">
      <c r="B17">
        <v>13</v>
      </c>
      <c r="C17" t="s">
        <v>13</v>
      </c>
      <c r="D17" t="s">
        <v>36</v>
      </c>
      <c r="E17" t="s">
        <v>28</v>
      </c>
      <c r="F17">
        <v>6</v>
      </c>
      <c r="G17" s="12" t="s">
        <v>77</v>
      </c>
      <c r="H17" s="12" t="s">
        <v>77</v>
      </c>
      <c r="I17" s="34">
        <v>1</v>
      </c>
      <c r="J17" s="34">
        <v>2</v>
      </c>
      <c r="O17">
        <f>COUNTA(Список[[#This Row],[08.сен]:[22.дек]])</f>
        <v>4</v>
      </c>
      <c r="P17">
        <v>4</v>
      </c>
    </row>
    <row r="18" spans="2:16" x14ac:dyDescent="0.25">
      <c r="B18">
        <v>14</v>
      </c>
      <c r="C18" t="s">
        <v>14</v>
      </c>
      <c r="D18" t="s">
        <v>39</v>
      </c>
      <c r="E18" t="s">
        <v>28</v>
      </c>
      <c r="F18">
        <v>18</v>
      </c>
      <c r="G18" s="12" t="s">
        <v>77</v>
      </c>
      <c r="H18" s="12" t="s">
        <v>77</v>
      </c>
      <c r="J18" s="24">
        <v>1</v>
      </c>
      <c r="O18">
        <f>COUNTA(Список[[#This Row],[08.сен]:[22.дек]])</f>
        <v>3</v>
      </c>
    </row>
    <row r="19" spans="2:16" x14ac:dyDescent="0.25">
      <c r="B19">
        <v>15</v>
      </c>
      <c r="C19" t="s">
        <v>15</v>
      </c>
      <c r="D19" t="s">
        <v>41</v>
      </c>
      <c r="E19" t="s">
        <v>28</v>
      </c>
      <c r="F19">
        <v>8</v>
      </c>
      <c r="G19" s="12" t="s">
        <v>77</v>
      </c>
      <c r="H19" s="12" t="s">
        <v>77</v>
      </c>
      <c r="J19" s="24">
        <v>1</v>
      </c>
      <c r="O19">
        <f>COUNTA(Список[[#This Row],[08.сен]:[22.дек]])</f>
        <v>3</v>
      </c>
    </row>
    <row r="20" spans="2:16" x14ac:dyDescent="0.25">
      <c r="B20">
        <v>16</v>
      </c>
      <c r="C20" t="s">
        <v>16</v>
      </c>
      <c r="D20" t="s">
        <v>40</v>
      </c>
      <c r="E20" t="s">
        <v>29</v>
      </c>
      <c r="F20">
        <v>8</v>
      </c>
      <c r="G20" s="12" t="s">
        <v>77</v>
      </c>
      <c r="H20" s="12" t="s">
        <v>77</v>
      </c>
      <c r="J20" s="24">
        <v>1</v>
      </c>
      <c r="O20">
        <f>COUNTA(Список[[#This Row],[08.сен]:[22.дек]])</f>
        <v>3</v>
      </c>
    </row>
    <row r="21" spans="2:16" x14ac:dyDescent="0.25">
      <c r="B21">
        <v>17</v>
      </c>
      <c r="C21" t="s">
        <v>17</v>
      </c>
      <c r="D21" t="s">
        <v>42</v>
      </c>
      <c r="E21" t="s">
        <v>29</v>
      </c>
      <c r="F21">
        <v>9</v>
      </c>
      <c r="G21" s="12" t="s">
        <v>77</v>
      </c>
      <c r="H21" s="12" t="s">
        <v>77</v>
      </c>
      <c r="I21" s="34">
        <v>1</v>
      </c>
      <c r="J21" s="34">
        <v>2</v>
      </c>
      <c r="O21">
        <f>COUNTA(Список[[#This Row],[08.сен]:[22.дек]])</f>
        <v>4</v>
      </c>
    </row>
    <row r="22" spans="2:16" x14ac:dyDescent="0.25">
      <c r="B22">
        <v>18</v>
      </c>
      <c r="C22" t="s">
        <v>18</v>
      </c>
      <c r="D22" t="s">
        <v>43</v>
      </c>
      <c r="E22" t="s">
        <v>29</v>
      </c>
      <c r="F22">
        <v>17</v>
      </c>
      <c r="G22" s="12" t="s">
        <v>77</v>
      </c>
      <c r="H22" s="22" t="s">
        <v>78</v>
      </c>
      <c r="I22" s="34">
        <v>1</v>
      </c>
      <c r="J22" s="34">
        <v>2</v>
      </c>
      <c r="O22">
        <f>COUNTA(Список[[#This Row],[08.сен]:[22.дек]])</f>
        <v>4</v>
      </c>
    </row>
    <row r="23" spans="2:16" x14ac:dyDescent="0.25">
      <c r="B23">
        <v>19</v>
      </c>
      <c r="C23" t="s">
        <v>19</v>
      </c>
      <c r="D23" t="s">
        <v>44</v>
      </c>
      <c r="E23" t="s">
        <v>28</v>
      </c>
      <c r="F23">
        <v>4</v>
      </c>
      <c r="G23" s="12" t="s">
        <v>77</v>
      </c>
      <c r="H23" s="22" t="s">
        <v>78</v>
      </c>
      <c r="I23" s="22" t="s">
        <v>78</v>
      </c>
      <c r="J23" s="20"/>
      <c r="O23">
        <f>COUNTA(Список[[#This Row],[08.сен]:[22.дек]])</f>
        <v>3</v>
      </c>
      <c r="P23">
        <v>4</v>
      </c>
    </row>
    <row r="24" spans="2:16" x14ac:dyDescent="0.25">
      <c r="B24">
        <v>20</v>
      </c>
      <c r="C24" t="s">
        <v>20</v>
      </c>
      <c r="D24" t="s">
        <v>45</v>
      </c>
      <c r="E24" t="s">
        <v>29</v>
      </c>
      <c r="F24">
        <v>9</v>
      </c>
      <c r="G24" s="12" t="s">
        <v>77</v>
      </c>
      <c r="H24" s="12" t="s">
        <v>77</v>
      </c>
      <c r="I24" s="34">
        <v>1</v>
      </c>
      <c r="J24" s="34">
        <v>2</v>
      </c>
      <c r="O24">
        <f>COUNTA(Список[[#This Row],[08.сен]:[22.дек]])</f>
        <v>4</v>
      </c>
    </row>
    <row r="25" spans="2:16" x14ac:dyDescent="0.25">
      <c r="B25">
        <v>21</v>
      </c>
      <c r="C25" t="s">
        <v>21</v>
      </c>
      <c r="D25" t="s">
        <v>46</v>
      </c>
      <c r="E25" t="s">
        <v>29</v>
      </c>
      <c r="F25">
        <v>21</v>
      </c>
      <c r="G25" s="12" t="s">
        <v>77</v>
      </c>
      <c r="H25" s="12" t="s">
        <v>77</v>
      </c>
      <c r="I25" s="22" t="s">
        <v>78</v>
      </c>
      <c r="J25" s="24">
        <v>1</v>
      </c>
      <c r="O25">
        <f>COUNTA(Список[[#This Row],[08.сен]:[22.дек]])</f>
        <v>4</v>
      </c>
    </row>
    <row r="26" spans="2:16" x14ac:dyDescent="0.25">
      <c r="B26">
        <v>22</v>
      </c>
      <c r="C26" t="s">
        <v>22</v>
      </c>
      <c r="D26" t="s">
        <v>47</v>
      </c>
      <c r="E26" t="s">
        <v>29</v>
      </c>
      <c r="F26">
        <v>2</v>
      </c>
      <c r="G26" s="12" t="s">
        <v>77</v>
      </c>
      <c r="H26" s="22" t="s">
        <v>78</v>
      </c>
      <c r="J26" s="24">
        <v>1</v>
      </c>
      <c r="O26">
        <f>COUNTA(Список[[#This Row],[08.сен]:[22.дек]])</f>
        <v>3</v>
      </c>
      <c r="P26">
        <v>5</v>
      </c>
    </row>
    <row r="27" spans="2:16" x14ac:dyDescent="0.25">
      <c r="B27">
        <v>23</v>
      </c>
      <c r="C27" t="s">
        <v>23</v>
      </c>
      <c r="D27" t="s">
        <v>48</v>
      </c>
      <c r="E27" t="s">
        <v>29</v>
      </c>
      <c r="F27">
        <v>21</v>
      </c>
      <c r="G27" s="12" t="s">
        <v>77</v>
      </c>
      <c r="I27" s="22" t="s">
        <v>78</v>
      </c>
      <c r="J27" s="24">
        <v>1</v>
      </c>
      <c r="O27">
        <f>COUNTA(Список[[#This Row],[08.сен]:[22.дек]])</f>
        <v>3</v>
      </c>
      <c r="P27">
        <v>4</v>
      </c>
    </row>
    <row r="28" spans="2:16" x14ac:dyDescent="0.25">
      <c r="B28">
        <v>24</v>
      </c>
      <c r="C28" t="s">
        <v>24</v>
      </c>
      <c r="D28" t="s">
        <v>49</v>
      </c>
      <c r="E28" t="s">
        <v>29</v>
      </c>
      <c r="F28">
        <v>7</v>
      </c>
      <c r="G28" s="12" t="s">
        <v>77</v>
      </c>
      <c r="I28" s="22" t="s">
        <v>78</v>
      </c>
      <c r="J28" s="20"/>
      <c r="O28">
        <f>COUNTA(Список[[#This Row],[08.сен]:[22.дек]])</f>
        <v>2</v>
      </c>
    </row>
    <row r="29" spans="2:16" x14ac:dyDescent="0.25">
      <c r="B29">
        <v>25</v>
      </c>
      <c r="C29" t="s">
        <v>25</v>
      </c>
      <c r="D29" t="s">
        <v>34</v>
      </c>
      <c r="E29" t="s">
        <v>28</v>
      </c>
      <c r="F29">
        <v>15</v>
      </c>
      <c r="G29" s="12" t="s">
        <v>77</v>
      </c>
      <c r="H29" s="34">
        <v>1</v>
      </c>
      <c r="J29" s="34">
        <v>2</v>
      </c>
      <c r="O29">
        <f>COUNTA(Список[[#This Row],[08.сен]:[22.дек]])</f>
        <v>3</v>
      </c>
    </row>
    <row r="30" spans="2:16" x14ac:dyDescent="0.25">
      <c r="B30">
        <v>26</v>
      </c>
      <c r="C30" t="s">
        <v>26</v>
      </c>
      <c r="D30" t="s">
        <v>34</v>
      </c>
      <c r="E30" t="s">
        <v>28</v>
      </c>
      <c r="F30">
        <v>3</v>
      </c>
      <c r="G30" s="12" t="s">
        <v>77</v>
      </c>
      <c r="H30" s="34">
        <v>1</v>
      </c>
      <c r="J30" s="34">
        <v>2</v>
      </c>
      <c r="O30">
        <f>COUNTA(Список[[#This Row],[08.сен]:[22.дек]])</f>
        <v>3</v>
      </c>
      <c r="P30">
        <v>5</v>
      </c>
    </row>
    <row r="31" spans="2:16" x14ac:dyDescent="0.25">
      <c r="B31">
        <v>27</v>
      </c>
      <c r="C31" t="s">
        <v>27</v>
      </c>
      <c r="D31" t="s">
        <v>50</v>
      </c>
      <c r="E31" t="s">
        <v>28</v>
      </c>
      <c r="F31">
        <v>1</v>
      </c>
      <c r="G31" s="12" t="s">
        <v>77</v>
      </c>
      <c r="H31" s="22" t="s">
        <v>78</v>
      </c>
      <c r="I31" s="34">
        <v>1</v>
      </c>
      <c r="J31" s="23" t="s">
        <v>78</v>
      </c>
      <c r="O31">
        <f>COUNTA(Список[[#This Row],[08.сен]:[22.дек]])</f>
        <v>4</v>
      </c>
      <c r="P31">
        <v>4</v>
      </c>
    </row>
    <row r="32" spans="2:16" x14ac:dyDescent="0.25">
      <c r="B32" t="s">
        <v>83</v>
      </c>
      <c r="F32">
        <f>SUBTOTAL(102,Список[Вар. ЛР])</f>
        <v>25</v>
      </c>
      <c r="G32" s="39"/>
      <c r="H32" s="39">
        <f>SUBTOTAL(102,Список[22.сен])</f>
        <v>4</v>
      </c>
      <c r="I32" s="40">
        <f>SUBTOTAL(102,Список[06.окт])</f>
        <v>8</v>
      </c>
      <c r="J32" s="39">
        <f>COUNTIF(Список[20.окт],1)</f>
        <v>8</v>
      </c>
      <c r="K32" s="40">
        <f>COUNTIF(Список[17.ноя],1)</f>
        <v>0</v>
      </c>
      <c r="L32" s="40">
        <f>COUNTIF(Список[01.дек],1)</f>
        <v>0</v>
      </c>
      <c r="M32" s="40">
        <f>COUNTIF(Список[15.дек],1)</f>
        <v>0</v>
      </c>
      <c r="N32" s="40">
        <f>COUNTIF(Список[22.дек],1)</f>
        <v>0</v>
      </c>
      <c r="P32">
        <f>SUBTOTAL(102,Список[27.окт])</f>
        <v>14</v>
      </c>
    </row>
    <row r="33" spans="2:16" x14ac:dyDescent="0.25">
      <c r="B33" s="19" t="s">
        <v>84</v>
      </c>
      <c r="C33" s="19"/>
      <c r="D33" s="19"/>
      <c r="E33" s="19"/>
      <c r="F33" s="19"/>
      <c r="G33" s="41"/>
      <c r="H33" s="41"/>
      <c r="I33" s="42"/>
      <c r="J33" s="41">
        <f>COUNTIF(Список[20.окт],2)</f>
        <v>10</v>
      </c>
      <c r="K33" s="42">
        <f>COUNTIF(Список[17.ноя],2)</f>
        <v>0</v>
      </c>
      <c r="L33" s="42">
        <f>COUNTIF(Список[01.дек],2)</f>
        <v>0</v>
      </c>
      <c r="M33" s="42">
        <f>COUNTIF(Список[15.дек],2)</f>
        <v>0</v>
      </c>
      <c r="N33" s="42">
        <f>COUNTIF(Список[22.дек],2)</f>
        <v>0</v>
      </c>
      <c r="P33">
        <f>COUNTIF(Список[27.окт],5)</f>
        <v>5</v>
      </c>
    </row>
    <row r="34" spans="2:16" x14ac:dyDescent="0.25">
      <c r="B34" s="28" t="s">
        <v>87</v>
      </c>
      <c r="C34" s="28"/>
      <c r="D34" s="28"/>
      <c r="E34" s="28"/>
      <c r="F34" s="38"/>
      <c r="G34" s="43"/>
      <c r="H34" s="44"/>
      <c r="I34" s="43"/>
      <c r="J34" s="44"/>
      <c r="K34" s="44">
        <f>COUNTIF(Список[17.ноя],3)</f>
        <v>0</v>
      </c>
      <c r="L34" s="44">
        <f>COUNTIF(Список[01.дек],3)</f>
        <v>0</v>
      </c>
      <c r="M34" s="44">
        <f>COUNTIF(Список[15.дек],3)</f>
        <v>0</v>
      </c>
      <c r="N34" s="44">
        <f>COUNTIF(Список[22.дек],3)</f>
        <v>0</v>
      </c>
      <c r="O34" s="3"/>
      <c r="P34">
        <f>COUNTIF(Список[27.окт],4)</f>
        <v>7</v>
      </c>
    </row>
    <row r="35" spans="2:16" x14ac:dyDescent="0.25">
      <c r="B35" s="28" t="s">
        <v>88</v>
      </c>
      <c r="C35" s="28"/>
      <c r="D35" s="28"/>
      <c r="E35" s="28"/>
      <c r="F35" s="38"/>
      <c r="G35" s="43"/>
      <c r="H35" s="44"/>
      <c r="I35" s="43"/>
      <c r="J35" s="44"/>
      <c r="K35" s="44">
        <f>COUNTIF(Список[17.ноя],4)</f>
        <v>0</v>
      </c>
      <c r="L35" s="44">
        <f>COUNTIF(Список[01.дек],4)</f>
        <v>0</v>
      </c>
      <c r="M35" s="44">
        <f>COUNTIF(Список[15.дек],4)</f>
        <v>0</v>
      </c>
      <c r="N35" s="44">
        <f>COUNTIF(Список[22.дек],4)</f>
        <v>0</v>
      </c>
      <c r="O35" s="3"/>
      <c r="P35">
        <f>COUNTIF(Список[27.окт],3)</f>
        <v>2</v>
      </c>
    </row>
    <row r="36" spans="2:16" x14ac:dyDescent="0.25">
      <c r="P36">
        <f>COUNTIF(Список[27.окт],"&lt;3")</f>
        <v>0</v>
      </c>
    </row>
  </sheetData>
  <mergeCells count="4">
    <mergeCell ref="G2:H2"/>
    <mergeCell ref="I2:J2"/>
    <mergeCell ref="K2:L2"/>
    <mergeCell ref="M2:N2"/>
  </mergeCells>
  <conditionalFormatting sqref="P5:P3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{38798A35-A1F8-493B-AB6E-0AB96D564358}</x14:id>
        </ext>
      </extLst>
    </cfRule>
  </conditionalFormatting>
  <conditionalFormatting sqref="O5:O3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4:O35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{2EC6AC69-A471-4F88-B4EC-1DCA2B2FF77F}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8798A35-A1F8-493B-AB6E-0AB96D5643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P5:P31</xm:sqref>
        </x14:conditionalFormatting>
        <x14:conditionalFormatting xmlns:xm="http://schemas.microsoft.com/office/excel/2006/main">
          <x14:cfRule type="dataBar" id="{2EC6AC69-A471-4F88-B4EC-1DCA2B2FF77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O34:O35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16E48-993F-46D9-86D5-42FACD99EDFF}">
  <dimension ref="A3:E25"/>
  <sheetViews>
    <sheetView workbookViewId="0">
      <selection activeCell="G15" sqref="G15"/>
    </sheetView>
  </sheetViews>
  <sheetFormatPr defaultRowHeight="15" x14ac:dyDescent="0.25"/>
  <cols>
    <col min="1" max="1" width="17.28515625" bestFit="1" customWidth="1"/>
    <col min="2" max="2" width="31.5703125" bestFit="1" customWidth="1"/>
    <col min="3" max="3" width="16.140625" customWidth="1"/>
    <col min="4" max="5" width="10.7109375" customWidth="1"/>
  </cols>
  <sheetData>
    <row r="3" spans="1:5" x14ac:dyDescent="0.25">
      <c r="A3" s="4" t="s">
        <v>52</v>
      </c>
      <c r="B3" t="s">
        <v>54</v>
      </c>
      <c r="C3" t="s">
        <v>55</v>
      </c>
      <c r="D3" t="s">
        <v>56</v>
      </c>
      <c r="E3" t="s">
        <v>57</v>
      </c>
    </row>
    <row r="4" spans="1:5" x14ac:dyDescent="0.25">
      <c r="A4" s="9" t="s">
        <v>34</v>
      </c>
      <c r="B4" s="6">
        <v>3</v>
      </c>
      <c r="C4">
        <v>1</v>
      </c>
      <c r="D4">
        <v>1</v>
      </c>
      <c r="E4">
        <v>1</v>
      </c>
    </row>
    <row r="5" spans="1:5" x14ac:dyDescent="0.25">
      <c r="A5" s="7" t="s">
        <v>32</v>
      </c>
      <c r="B5" s="6">
        <v>2</v>
      </c>
    </row>
    <row r="6" spans="1:5" x14ac:dyDescent="0.25">
      <c r="A6" s="7" t="s">
        <v>36</v>
      </c>
      <c r="B6" s="6">
        <v>2</v>
      </c>
    </row>
    <row r="7" spans="1:5" x14ac:dyDescent="0.25">
      <c r="A7" s="7" t="s">
        <v>39</v>
      </c>
      <c r="B7" s="6">
        <v>2</v>
      </c>
    </row>
    <row r="8" spans="1:5" x14ac:dyDescent="0.25">
      <c r="A8" s="7" t="s">
        <v>40</v>
      </c>
      <c r="B8" s="6">
        <v>2</v>
      </c>
    </row>
    <row r="9" spans="1:5" x14ac:dyDescent="0.25">
      <c r="A9" s="9" t="s">
        <v>30</v>
      </c>
      <c r="B9" s="6">
        <v>1</v>
      </c>
      <c r="C9">
        <v>1</v>
      </c>
      <c r="D9">
        <v>1</v>
      </c>
      <c r="E9">
        <v>1</v>
      </c>
    </row>
    <row r="10" spans="1:5" x14ac:dyDescent="0.25">
      <c r="A10" s="10" t="s">
        <v>44</v>
      </c>
      <c r="B10" s="6">
        <v>1</v>
      </c>
    </row>
    <row r="11" spans="1:5" x14ac:dyDescent="0.25">
      <c r="A11" s="7" t="s">
        <v>43</v>
      </c>
      <c r="B11" s="6">
        <v>1</v>
      </c>
    </row>
    <row r="12" spans="1:5" x14ac:dyDescent="0.25">
      <c r="A12" s="10" t="s">
        <v>38</v>
      </c>
      <c r="B12" s="6">
        <v>1</v>
      </c>
    </row>
    <row r="13" spans="1:5" x14ac:dyDescent="0.25">
      <c r="A13" s="9" t="s">
        <v>50</v>
      </c>
      <c r="B13" s="6">
        <v>1</v>
      </c>
      <c r="C13">
        <v>1</v>
      </c>
      <c r="D13">
        <v>1</v>
      </c>
      <c r="E13">
        <v>1</v>
      </c>
    </row>
    <row r="14" spans="1:5" x14ac:dyDescent="0.25">
      <c r="A14" s="7" t="s">
        <v>33</v>
      </c>
      <c r="B14" s="6">
        <v>1</v>
      </c>
    </row>
    <row r="15" spans="1:5" x14ac:dyDescent="0.25">
      <c r="A15" s="7" t="s">
        <v>35</v>
      </c>
      <c r="B15" s="6">
        <v>1</v>
      </c>
    </row>
    <row r="16" spans="1:5" x14ac:dyDescent="0.25">
      <c r="A16" s="7" t="s">
        <v>37</v>
      </c>
      <c r="B16" s="6">
        <v>1</v>
      </c>
    </row>
    <row r="17" spans="1:5" x14ac:dyDescent="0.25">
      <c r="A17" s="7" t="s">
        <v>46</v>
      </c>
      <c r="B17" s="6">
        <v>1</v>
      </c>
    </row>
    <row r="18" spans="1:5" x14ac:dyDescent="0.25">
      <c r="A18" s="9" t="s">
        <v>41</v>
      </c>
      <c r="B18" s="6">
        <v>1</v>
      </c>
      <c r="C18">
        <v>1</v>
      </c>
      <c r="D18">
        <v>1</v>
      </c>
      <c r="E18">
        <v>1</v>
      </c>
    </row>
    <row r="19" spans="1:5" x14ac:dyDescent="0.25">
      <c r="A19" s="7" t="s">
        <v>47</v>
      </c>
      <c r="B19" s="6">
        <v>1</v>
      </c>
    </row>
    <row r="20" spans="1:5" x14ac:dyDescent="0.25">
      <c r="A20" s="9" t="s">
        <v>45</v>
      </c>
      <c r="B20" s="6">
        <v>1</v>
      </c>
      <c r="C20">
        <v>1</v>
      </c>
      <c r="D20">
        <v>1</v>
      </c>
      <c r="E20">
        <v>1</v>
      </c>
    </row>
    <row r="21" spans="1:5" x14ac:dyDescent="0.25">
      <c r="A21" s="10" t="s">
        <v>48</v>
      </c>
      <c r="B21" s="6">
        <v>1</v>
      </c>
    </row>
    <row r="22" spans="1:5" x14ac:dyDescent="0.25">
      <c r="A22" s="10" t="s">
        <v>49</v>
      </c>
      <c r="B22" s="6">
        <v>1</v>
      </c>
    </row>
    <row r="23" spans="1:5" x14ac:dyDescent="0.25">
      <c r="A23" s="9" t="s">
        <v>42</v>
      </c>
      <c r="B23" s="6">
        <v>1</v>
      </c>
      <c r="C23">
        <v>1</v>
      </c>
      <c r="D23">
        <v>1</v>
      </c>
      <c r="E23">
        <v>1</v>
      </c>
    </row>
    <row r="24" spans="1:5" x14ac:dyDescent="0.25">
      <c r="A24" s="10" t="s">
        <v>31</v>
      </c>
      <c r="B24" s="6">
        <v>1</v>
      </c>
    </row>
    <row r="25" spans="1:5" x14ac:dyDescent="0.25">
      <c r="A25" s="5" t="s">
        <v>53</v>
      </c>
      <c r="B25" s="6">
        <v>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B8E9A-2D55-45C5-8714-39BA4D76FF50}">
  <dimension ref="B2:C5"/>
  <sheetViews>
    <sheetView workbookViewId="0">
      <selection activeCell="F25" sqref="F25"/>
    </sheetView>
  </sheetViews>
  <sheetFormatPr defaultRowHeight="15" x14ac:dyDescent="0.25"/>
  <cols>
    <col min="2" max="2" width="17.28515625" bestFit="1" customWidth="1"/>
    <col min="3" max="3" width="31.140625" bestFit="1" customWidth="1"/>
  </cols>
  <sheetData>
    <row r="2" spans="2:3" x14ac:dyDescent="0.25">
      <c r="B2" s="4" t="s">
        <v>52</v>
      </c>
      <c r="C2" t="s">
        <v>59</v>
      </c>
    </row>
    <row r="3" spans="2:3" x14ac:dyDescent="0.25">
      <c r="B3" s="5" t="s">
        <v>28</v>
      </c>
      <c r="C3" s="8">
        <v>0.59259259259259256</v>
      </c>
    </row>
    <row r="4" spans="2:3" x14ac:dyDescent="0.25">
      <c r="B4" s="5" t="s">
        <v>29</v>
      </c>
      <c r="C4" s="8">
        <v>0.40740740740740738</v>
      </c>
    </row>
    <row r="5" spans="2:3" x14ac:dyDescent="0.25">
      <c r="B5" s="5" t="s">
        <v>53</v>
      </c>
      <c r="C5" s="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Резюме</vt:lpstr>
      <vt:lpstr>Долг по ЛР1</vt:lpstr>
      <vt:lpstr>Жду ЛР2</vt:lpstr>
      <vt:lpstr>Список</vt:lpstr>
      <vt:lpstr>Имена</vt:lpstr>
      <vt:lpstr>Пол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Valery Artemyev</dc:creator>
  <cp:lastModifiedBy>Valery Artemyev</cp:lastModifiedBy>
  <dcterms:created xsi:type="dcterms:W3CDTF">2025-11-04T13:07:09Z</dcterms:created>
  <dcterms:modified xsi:type="dcterms:W3CDTF">2025-11-07T10:55:51Z</dcterms:modified>
</cp:coreProperties>
</file>