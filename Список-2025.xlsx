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МГТУ\ИБМ3\МоделиДан\"/>
    </mc:Choice>
  </mc:AlternateContent>
  <xr:revisionPtr revIDLastSave="0" documentId="13_ncr:1_{48DABD9F-119A-45BC-BC43-6FB674871105}" xr6:coauthVersionLast="47" xr6:coauthVersionMax="47" xr10:uidLastSave="{00000000-0000-0000-0000-000000000000}"/>
  <bookViews>
    <workbookView xWindow="-120" yWindow="-120" windowWidth="20730" windowHeight="11160" activeTab="4" xr2:uid="{00000000-000D-0000-FFFF-FFFF00000000}"/>
  </bookViews>
  <sheets>
    <sheet name="Резюме" sheetId="7" r:id="rId1"/>
    <sheet name="По студентам" sheetId="4" r:id="rId2"/>
    <sheet name="По группам" sheetId="8" r:id="rId3"/>
    <sheet name="Долги" sheetId="9" r:id="rId4"/>
    <sheet name="Список" sheetId="1" r:id="rId5"/>
    <sheet name="Имена" sheetId="2" state="hidden" r:id="rId6"/>
    <sheet name="Пол" sheetId="3" state="hidden" r:id="rId7"/>
  </sheets>
  <definedNames>
    <definedName name="_xlcn.WorksheetConnection_Книга1Список" hidden="1">Список[]</definedName>
    <definedName name="_xlnm._FilterDatabase" localSheetId="3" hidden="1">Долги!$E$3:$E$30</definedName>
  </definedNames>
  <calcPr calcId="191029"/>
  <pivotCaches>
    <pivotCache cacheId="0" r:id="rId8"/>
    <pivotCache cacheId="1" r:id="rId9"/>
    <pivotCache cacheId="2" r:id="rId10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Список" name="Список" connection="WorksheetConnection_Книга1!Список"/>
        </x15:modelTables>
      </x15:dataModel>
    </ext>
  </extLst>
</workbook>
</file>

<file path=xl/calcChain.xml><?xml version="1.0" encoding="utf-8"?>
<calcChain xmlns="http://schemas.openxmlformats.org/spreadsheetml/2006/main"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4" i="9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4" i="8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4" i="4"/>
  <c r="P35" i="1" l="1"/>
  <c r="C14" i="7" s="1"/>
  <c r="P36" i="1"/>
  <c r="C15" i="7" s="1"/>
  <c r="P34" i="1"/>
  <c r="C13" i="7" s="1"/>
  <c r="P33" i="1"/>
  <c r="C12" i="7" s="1"/>
  <c r="K35" i="1"/>
  <c r="M35" i="1"/>
  <c r="N35" i="1"/>
  <c r="L35" i="1"/>
  <c r="K34" i="1"/>
  <c r="L34" i="1"/>
  <c r="M34" i="1"/>
  <c r="N34" i="1"/>
  <c r="L33" i="1"/>
  <c r="M33" i="1"/>
  <c r="N33" i="1"/>
  <c r="L32" i="1"/>
  <c r="M32" i="1"/>
  <c r="N32" i="1"/>
  <c r="K33" i="1"/>
  <c r="K32" i="1"/>
  <c r="P32" i="1"/>
  <c r="C11" i="7" s="1"/>
  <c r="D11" i="7" s="1"/>
  <c r="J33" i="1"/>
  <c r="J32" i="1"/>
  <c r="I32" i="1"/>
  <c r="H32" i="1"/>
  <c r="F32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8" i="1"/>
  <c r="O27" i="1"/>
  <c r="O29" i="1"/>
  <c r="O30" i="1"/>
  <c r="O31" i="1"/>
  <c r="C8" i="7" l="1"/>
  <c r="C5" i="7"/>
  <c r="F8" i="7"/>
  <c r="D6" i="7"/>
  <c r="C6" i="7"/>
  <c r="D7" i="7"/>
  <c r="C7" i="7"/>
  <c r="E7" i="7" s="1"/>
  <c r="D8" i="7"/>
  <c r="E8" i="7" s="1"/>
  <c r="F6" i="7"/>
  <c r="E6" i="7"/>
  <c r="F7" i="7"/>
  <c r="D5" i="7"/>
  <c r="F5" i="7" l="1"/>
  <c r="E5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Модель данных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Книга1!Список" type="102" refreshedVersion="6" minRefreshableVersion="5">
    <extLst>
      <ext xmlns:x15="http://schemas.microsoft.com/office/spreadsheetml/2010/11/main" uri="{DE250136-89BD-433C-8126-D09CA5730AF9}">
        <x15:connection id="Список" autoDelete="1">
          <x15:rangePr sourceName="_xlcn.WorksheetConnection_Книга1Список"/>
        </x15:connection>
      </ext>
    </extLst>
  </connection>
</connections>
</file>

<file path=xl/sharedStrings.xml><?xml version="1.0" encoding="utf-8"?>
<sst xmlns="http://schemas.openxmlformats.org/spreadsheetml/2006/main" count="317" uniqueCount="105">
  <si>
    <t>Атаманова Софья</t>
  </si>
  <si>
    <t>Ахадова Диера</t>
  </si>
  <si>
    <t>Фамилия, имя</t>
  </si>
  <si>
    <t>№</t>
  </si>
  <si>
    <t>Бабченко Елизавета</t>
  </si>
  <si>
    <t>Волкова Варвара</t>
  </si>
  <si>
    <t>Гаврилова Анна</t>
  </si>
  <si>
    <t>Гаммал Дмитрий</t>
  </si>
  <si>
    <t>Головастикова Полина</t>
  </si>
  <si>
    <t>Горбунова Вероника</t>
  </si>
  <si>
    <t>Коваленко Елизавета</t>
  </si>
  <si>
    <t>Кольцова Анастасия</t>
  </si>
  <si>
    <t>Крючков Даниил</t>
  </si>
  <si>
    <t>Мельникова Полина</t>
  </si>
  <si>
    <t>Митрохина Анастасия</t>
  </si>
  <si>
    <t>Михайлова Виктория</t>
  </si>
  <si>
    <t>Осипов Даниил</t>
  </si>
  <si>
    <t>Прищенко Артём</t>
  </si>
  <si>
    <t>Рак Андрей</t>
  </si>
  <si>
    <t>Рытикова Кирена</t>
  </si>
  <si>
    <t>Сигорский Александр</t>
  </si>
  <si>
    <t>Субочев Иван</t>
  </si>
  <si>
    <t>Уйданов Лев</t>
  </si>
  <si>
    <t>Цугель Арсений</t>
  </si>
  <si>
    <t>Хабибулин Данил</t>
  </si>
  <si>
    <t>Щетинина Анна</t>
  </si>
  <si>
    <t>Якубович Анна</t>
  </si>
  <si>
    <t>Янбухтина Мария</t>
  </si>
  <si>
    <t>ж</t>
  </si>
  <si>
    <t>м</t>
  </si>
  <si>
    <t>Софья</t>
  </si>
  <si>
    <t>Диера</t>
  </si>
  <si>
    <t>Елизавета</t>
  </si>
  <si>
    <t>Варвара</t>
  </si>
  <si>
    <t>Анна</t>
  </si>
  <si>
    <t>Дмитрий</t>
  </si>
  <si>
    <t>Полина</t>
  </si>
  <si>
    <t>Вероника</t>
  </si>
  <si>
    <t>Богдан</t>
  </si>
  <si>
    <t>Анастасия</t>
  </si>
  <si>
    <t>Даниил</t>
  </si>
  <si>
    <t>Виктория</t>
  </si>
  <si>
    <t>Артём</t>
  </si>
  <si>
    <t>Андрей</t>
  </si>
  <si>
    <t>Кирена</t>
  </si>
  <si>
    <t>Александр</t>
  </si>
  <si>
    <t>Иван</t>
  </si>
  <si>
    <t>Лев</t>
  </si>
  <si>
    <t>Арсений</t>
  </si>
  <si>
    <t>Данил</t>
  </si>
  <si>
    <t>Мария</t>
  </si>
  <si>
    <t>Имя</t>
  </si>
  <si>
    <t>Названия строк</t>
  </si>
  <si>
    <t>Общий итог</t>
  </si>
  <si>
    <t>Число элементов в столбце Имя</t>
  </si>
  <si>
    <t xml:space="preserve">Самые частые </t>
  </si>
  <si>
    <t>2024 год</t>
  </si>
  <si>
    <t>2021-2022</t>
  </si>
  <si>
    <t>Пол</t>
  </si>
  <si>
    <t>Число элементов в столбце Пол</t>
  </si>
  <si>
    <t>08.сен</t>
  </si>
  <si>
    <t>22.сен</t>
  </si>
  <si>
    <t>06.окт</t>
  </si>
  <si>
    <t>Лаб.1</t>
  </si>
  <si>
    <t>20.окт</t>
  </si>
  <si>
    <t>Вар. ЛР</t>
  </si>
  <si>
    <t>27.окт</t>
  </si>
  <si>
    <t>Лаб.2</t>
  </si>
  <si>
    <t>17.ноя</t>
  </si>
  <si>
    <t>Лаб.3</t>
  </si>
  <si>
    <t>РК</t>
  </si>
  <si>
    <t>01.дек</t>
  </si>
  <si>
    <t>Лаб.4</t>
  </si>
  <si>
    <t>22.дек</t>
  </si>
  <si>
    <t>15.дек</t>
  </si>
  <si>
    <t>Дебуля Богдан</t>
  </si>
  <si>
    <t>?</t>
  </si>
  <si>
    <t>*</t>
  </si>
  <si>
    <t>+</t>
  </si>
  <si>
    <t>Встреч</t>
  </si>
  <si>
    <t>Сдали</t>
  </si>
  <si>
    <t>Вовремя</t>
  </si>
  <si>
    <t>Не сдали</t>
  </si>
  <si>
    <t>ЛР1</t>
  </si>
  <si>
    <t>ЛР2</t>
  </si>
  <si>
    <t>Не вовремя</t>
  </si>
  <si>
    <t>Получили задания</t>
  </si>
  <si>
    <t>ЛР3</t>
  </si>
  <si>
    <t>ЛР4</t>
  </si>
  <si>
    <t>Прошли</t>
  </si>
  <si>
    <t>Не прошли</t>
  </si>
  <si>
    <t>1-2</t>
  </si>
  <si>
    <t>Выполнение практикума по курсу "Модели данных" студентами группы ИБМ3-34Б (2025)</t>
  </si>
  <si>
    <t>(пусто)</t>
  </si>
  <si>
    <t>Баллы2</t>
  </si>
  <si>
    <t>Баллы1</t>
  </si>
  <si>
    <t>Сдано ЛР</t>
  </si>
  <si>
    <t>Успеваемость на 17.11.2025</t>
  </si>
  <si>
    <t>Итоги успеваемости по курсу "Модели данных"</t>
  </si>
  <si>
    <t xml:space="preserve"> Баллы 1</t>
  </si>
  <si>
    <t>Группа</t>
  </si>
  <si>
    <t>Долг</t>
  </si>
  <si>
    <t>ЛР2, РК</t>
  </si>
  <si>
    <t>ЛР1-2</t>
  </si>
  <si>
    <t>ЛР1-2, РК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</si>
</sst>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b/>
      <sz val="12"/>
      <color rgb="FF002060"/>
      <name val="Arial"/>
      <family val="2"/>
      <charset val="204"/>
    </font>
    <font>
      <b/>
      <sz val="14"/>
      <color rgb="FF002060"/>
      <name val="Arial"/>
      <family val="2"/>
      <charset val="204"/>
    </font>
    <font>
      <b/>
      <sz val="16"/>
      <color rgb="FF002060"/>
      <name val="Calibri"/>
      <family val="2"/>
      <charset val="204"/>
      <scheme val="minor"/>
    </font>
    <font>
      <strike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  <font>
      <u/>
      <sz val="11"/>
      <color theme="1"/>
      <name val="Calibri"/>
      <family val="2"/>
      <charset val="204"/>
      <scheme val="minor"/>
    </font>
    <font>
      <sz val="11"/>
      <color theme="8" tint="-0.249977111117893"/>
      <name val="Calibri"/>
      <family val="2"/>
      <charset val="204"/>
      <scheme val="minor"/>
    </font>
    <font>
      <sz val="11"/>
      <color rgb="FF002060"/>
      <name val="Calibri"/>
      <family val="2"/>
      <charset val="204"/>
      <scheme val="minor"/>
    </font>
    <font>
      <sz val="11"/>
      <color rgb="FF0070C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9" fontId="0" fillId="0" borderId="0" xfId="0" applyNumberFormat="1"/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16" fontId="0" fillId="0" borderId="0" xfId="0" applyNumberFormat="1"/>
    <xf numFmtId="0" fontId="0" fillId="0" borderId="0" xfId="0" applyAlignment="1">
      <alignment horizontal="center"/>
    </xf>
    <xf numFmtId="0" fontId="0" fillId="5" borderId="3" xfId="0" applyFill="1" applyBorder="1" applyAlignment="1">
      <alignment horizontal="center" wrapText="1"/>
    </xf>
    <xf numFmtId="0" fontId="1" fillId="0" borderId="0" xfId="0" applyFont="1"/>
    <xf numFmtId="0" fontId="0" fillId="4" borderId="0" xfId="0" applyFill="1"/>
    <xf numFmtId="0" fontId="0" fillId="4" borderId="0" xfId="0" applyFill="1" applyAlignment="1">
      <alignment horizontal="right"/>
    </xf>
    <xf numFmtId="0" fontId="0" fillId="0" borderId="0" xfId="0" quotePrefix="1" applyAlignment="1">
      <alignment horizontal="center" vertical="center"/>
    </xf>
    <xf numFmtId="0" fontId="0" fillId="6" borderId="0" xfId="0" quotePrefix="1" applyFill="1" applyAlignment="1">
      <alignment horizontal="center" vertical="center"/>
    </xf>
    <xf numFmtId="0" fontId="0" fillId="6" borderId="0" xfId="0" applyFill="1" applyAlignment="1">
      <alignment horizontal="center"/>
    </xf>
    <xf numFmtId="0" fontId="1" fillId="0" borderId="1" xfId="0" applyFont="1" applyBorder="1"/>
    <xf numFmtId="0" fontId="0" fillId="3" borderId="0" xfId="0" quotePrefix="1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 vertical="top"/>
    </xf>
    <xf numFmtId="16" fontId="2" fillId="7" borderId="0" xfId="0" applyNumberFormat="1" applyFont="1" applyFill="1"/>
    <xf numFmtId="0" fontId="0" fillId="0" borderId="4" xfId="0" applyBorder="1"/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vertical="center"/>
    </xf>
    <xf numFmtId="0" fontId="0" fillId="0" borderId="4" xfId="0" applyBorder="1" applyAlignment="1">
      <alignment horizontal="center" vertical="top"/>
    </xf>
    <xf numFmtId="0" fontId="0" fillId="0" borderId="4" xfId="0" applyBorder="1" applyAlignment="1">
      <alignment horizontal="right" vertical="top"/>
    </xf>
    <xf numFmtId="0" fontId="4" fillId="0" borderId="0" xfId="0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6" fillId="0" borderId="0" xfId="0" applyFont="1"/>
    <xf numFmtId="0" fontId="0" fillId="0" borderId="5" xfId="0" applyBorder="1"/>
    <xf numFmtId="0" fontId="0" fillId="9" borderId="0" xfId="0" applyFill="1"/>
    <xf numFmtId="0" fontId="0" fillId="10" borderId="0" xfId="0" applyFill="1"/>
    <xf numFmtId="0" fontId="0" fillId="11" borderId="0" xfId="0" applyFill="1" applyAlignment="1">
      <alignment horizontal="left"/>
    </xf>
    <xf numFmtId="0" fontId="0" fillId="11" borderId="0" xfId="0" applyFill="1"/>
    <xf numFmtId="0" fontId="0" fillId="6" borderId="0" xfId="0" applyFill="1" applyAlignment="1">
      <alignment horizontal="left"/>
    </xf>
    <xf numFmtId="0" fontId="0" fillId="6" borderId="0" xfId="0" applyFill="1"/>
    <xf numFmtId="0" fontId="1" fillId="8" borderId="6" xfId="0" applyFont="1" applyFill="1" applyBorder="1" applyAlignment="1">
      <alignment horizontal="center"/>
    </xf>
    <xf numFmtId="0" fontId="8" fillId="9" borderId="0" xfId="0" applyFont="1" applyFill="1" applyAlignment="1">
      <alignment horizontal="left"/>
    </xf>
    <xf numFmtId="0" fontId="8" fillId="9" borderId="0" xfId="0" applyFont="1" applyFill="1"/>
    <xf numFmtId="0" fontId="8" fillId="0" borderId="0" xfId="0" applyFont="1"/>
    <xf numFmtId="16" fontId="0" fillId="0" borderId="0" xfId="0" quotePrefix="1" applyNumberFormat="1" applyAlignment="1">
      <alignment horizontal="center"/>
    </xf>
    <xf numFmtId="0" fontId="9" fillId="0" borderId="0" xfId="0" applyFont="1" applyAlignment="1">
      <alignment horizontal="center" vertical="top"/>
    </xf>
    <xf numFmtId="0" fontId="9" fillId="0" borderId="0" xfId="0" applyFont="1"/>
    <xf numFmtId="0" fontId="0" fillId="0" borderId="0" xfId="0" applyAlignment="1">
      <alignment horizontal="right"/>
    </xf>
    <xf numFmtId="0" fontId="1" fillId="6" borderId="0" xfId="0" applyFont="1" applyFill="1" applyAlignment="1">
      <alignment horizontal="left"/>
    </xf>
    <xf numFmtId="0" fontId="12" fillId="6" borderId="0" xfId="0" applyFont="1" applyFill="1" applyAlignment="1">
      <alignment horizontal="left"/>
    </xf>
    <xf numFmtId="0" fontId="11" fillId="10" borderId="0" xfId="0" applyFont="1" applyFill="1" applyAlignment="1">
      <alignment horizontal="left"/>
    </xf>
    <xf numFmtId="0" fontId="11" fillId="9" borderId="0" xfId="0" applyFont="1" applyFill="1" applyAlignment="1">
      <alignment horizontal="left"/>
    </xf>
    <xf numFmtId="0" fontId="10" fillId="4" borderId="0" xfId="0" applyFont="1" applyFill="1" applyAlignment="1">
      <alignment horizontal="left"/>
    </xf>
    <xf numFmtId="0" fontId="7" fillId="0" borderId="0" xfId="0" applyFont="1"/>
    <xf numFmtId="0" fontId="13" fillId="0" borderId="0" xfId="0" applyFont="1"/>
    <xf numFmtId="0" fontId="7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7" fillId="0" borderId="0" xfId="0" applyFont="1" applyAlignment="1">
      <alignment horizontal="center" vertical="top"/>
    </xf>
    <xf numFmtId="0" fontId="2" fillId="0" borderId="0" xfId="0" applyFont="1"/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0" fillId="5" borderId="0" xfId="0" applyFill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3" xfId="0" applyFill="1" applyBorder="1" applyAlignment="1">
      <alignment horizontal="center" wrapText="1"/>
    </xf>
    <xf numFmtId="0" fontId="0" fillId="5" borderId="0" xfId="0" applyFill="1" applyAlignment="1">
      <alignment horizontal="center" wrapText="1"/>
    </xf>
  </cellXfs>
  <cellStyles count="1">
    <cellStyle name="Обычный" xfId="0" builtinId="0"/>
  </cellStyles>
  <dxfs count="132">
    <dxf>
      <numFmt numFmtId="13" formatCode="0%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theme="5" tint="0.39997558519241921"/>
        </patternFill>
      </fill>
    </dxf>
    <dxf>
      <fill>
        <patternFill>
          <bgColor theme="5" tint="0.39997558519241921"/>
        </patternFill>
      </fill>
    </dxf>
    <dxf>
      <fill>
        <patternFill>
          <bgColor theme="5" tint="0.39997558519241921"/>
        </patternFill>
      </fill>
    </dxf>
    <dxf>
      <fill>
        <patternFill>
          <bgColor theme="5" tint="0.39997558519241921"/>
        </patternFill>
      </fill>
    </dxf>
    <dxf>
      <fill>
        <patternFill>
          <bgColor theme="5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 diagonalUp="0" diagonalDown="0" outline="0">
        <left/>
        <right/>
        <top style="thin">
          <color indexed="64"/>
        </top>
        <bottom/>
      </border>
    </dxf>
    <dxf>
      <border diagonalUp="0" diagonalDown="0" outline="0">
        <left/>
        <right/>
        <top style="thin">
          <color indexed="64"/>
        </top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>
        <top style="thin">
          <color indexed="64"/>
        </top>
      </border>
    </dxf>
    <dxf>
      <font>
        <color theme="0"/>
      </font>
    </dxf>
    <dxf>
      <font>
        <color theme="0"/>
      </font>
    </dxf>
    <dxf>
      <alignment horizontal="center" readingOrder="0"/>
    </dxf>
    <dxf>
      <alignment vertical="top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rgb="FFC00000"/>
      </font>
    </dxf>
    <dxf>
      <font>
        <color theme="8" tint="-0.249977111117893"/>
      </font>
    </dxf>
    <dxf>
      <font>
        <color rgb="FF0070C0"/>
      </font>
    </dxf>
    <dxf>
      <font>
        <color rgb="FF002060"/>
      </font>
    </dxf>
    <dxf>
      <font>
        <color rgb="FF002060"/>
      </font>
    </dxf>
    <dxf>
      <font>
        <color rgb="FF0070C0"/>
      </font>
    </dxf>
    <dxf>
      <font>
        <color rgb="FF0070C0"/>
      </font>
    </dxf>
    <dxf>
      <font>
        <color rgb="FFC00000"/>
      </font>
    </dxf>
    <dxf>
      <font>
        <b/>
      </font>
    </dxf>
    <dxf>
      <font>
        <color rgb="FFC00000"/>
      </font>
    </dxf>
    <dxf>
      <alignment horizontal="right" readingOrder="0"/>
    </dxf>
    <dxf>
      <font>
        <color rgb="FFC00000"/>
      </font>
    </dxf>
    <dxf>
      <font>
        <color rgb="FFC00000"/>
      </font>
    </dxf>
    <dxf>
      <font>
        <color rgb="FFFFFF00"/>
      </font>
    </dxf>
    <dxf>
      <font>
        <color rgb="FFFFFF00"/>
      </font>
    </dxf>
    <dxf>
      <alignment horizontal="center" readingOrder="0"/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5" tint="-0.249977111117893"/>
        </patternFill>
      </fill>
    </dxf>
    <dxf>
      <font>
        <color rgb="FFFFFF00"/>
      </font>
    </dxf>
    <dxf>
      <fill>
        <patternFill patternType="solid">
          <bgColor rgb="FFC00000"/>
        </patternFill>
      </fill>
    </dxf>
    <dxf>
      <alignment horizontal="center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vertical="top" readingOrder="0"/>
    </dxf>
    <dxf>
      <alignment horizontal="center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auto="1"/>
      </font>
    </dxf>
    <dxf>
      <font>
        <color auto="1"/>
      </font>
    </dxf>
    <dxf>
      <font>
        <color rgb="FFC00000"/>
      </font>
    </dxf>
    <dxf>
      <font>
        <color theme="8" tint="-0.249977111117893"/>
      </font>
    </dxf>
    <dxf>
      <font>
        <color rgb="FF0070C0"/>
      </font>
    </dxf>
    <dxf>
      <font>
        <color rgb="FF002060"/>
      </font>
    </dxf>
    <dxf>
      <font>
        <color rgb="FF002060"/>
      </font>
    </dxf>
    <dxf>
      <font>
        <color rgb="FF0070C0"/>
      </font>
    </dxf>
    <dxf>
      <font>
        <color rgb="FF0070C0"/>
      </font>
    </dxf>
    <dxf>
      <font>
        <color rgb="FFC00000"/>
      </font>
    </dxf>
    <dxf>
      <font>
        <b/>
      </font>
    </dxf>
    <dxf>
      <font>
        <color rgb="FFC00000"/>
      </font>
    </dxf>
    <dxf>
      <alignment horizontal="right" readingOrder="0"/>
    </dxf>
    <dxf>
      <font>
        <color rgb="FFC00000"/>
      </font>
    </dxf>
    <dxf>
      <font>
        <color rgb="FFC00000"/>
      </font>
    </dxf>
    <dxf>
      <font>
        <color rgb="FFFFFF00"/>
      </font>
    </dxf>
    <dxf>
      <font>
        <color rgb="FFFFFF00"/>
      </font>
    </dxf>
    <dxf>
      <alignment horizontal="center" readingOrder="0"/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5" tint="-0.249977111117893"/>
        </patternFill>
      </fill>
    </dxf>
    <dxf>
      <font>
        <color rgb="FFFFFF00"/>
      </font>
    </dxf>
    <dxf>
      <fill>
        <patternFill patternType="solid">
          <bgColor rgb="FFC00000"/>
        </patternFill>
      </fill>
    </dxf>
    <dxf>
      <font>
        <color rgb="FFC00000"/>
      </font>
    </dxf>
    <dxf>
      <font>
        <color theme="8" tint="-0.249977111117893"/>
      </font>
    </dxf>
    <dxf>
      <font>
        <color rgb="FF0070C0"/>
      </font>
    </dxf>
    <dxf>
      <font>
        <color rgb="FF002060"/>
      </font>
    </dxf>
    <dxf>
      <font>
        <color rgb="FF002060"/>
      </font>
    </dxf>
    <dxf>
      <font>
        <color rgb="FF0070C0"/>
      </font>
    </dxf>
    <dxf>
      <font>
        <color rgb="FF0070C0"/>
      </font>
    </dxf>
    <dxf>
      <font>
        <color rgb="FFC00000"/>
      </font>
    </dxf>
    <dxf>
      <font>
        <b/>
      </font>
    </dxf>
    <dxf>
      <font>
        <color rgb="FFC00000"/>
      </font>
    </dxf>
    <dxf>
      <alignment horizontal="right" readingOrder="0"/>
    </dxf>
    <dxf>
      <font>
        <color rgb="FFC00000"/>
      </font>
    </dxf>
    <dxf>
      <font>
        <color rgb="FFC00000"/>
      </font>
    </dxf>
    <dxf>
      <font>
        <color rgb="FFFFFF00"/>
      </font>
    </dxf>
    <dxf>
      <font>
        <color rgb="FFFFFF00"/>
      </font>
    </dxf>
    <dxf>
      <alignment horizontal="center" readingOrder="0"/>
    </dxf>
    <dxf>
      <fill>
        <patternFill patternType="solid">
          <bgColor theme="7" tint="0.59999389629810485"/>
        </patternFill>
      </fill>
    </dxf>
    <dxf>
      <fill>
        <patternFill patternType="solid">
          <bgColor theme="7" tint="0.59999389629810485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5" tint="0.39997558519241921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5" tint="-0.249977111117893"/>
        </patternFill>
      </fill>
    </dxf>
    <dxf>
      <font>
        <color rgb="FFFFFF00"/>
      </font>
    </dxf>
    <dxf>
      <fill>
        <patternFill patternType="solid"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haredStrings" Target="sharedStrings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Артемьев Валерий Иванович" refreshedDate="45988.54999861111" backgroundQuery="1" createdVersion="8" refreshedVersion="6" minRefreshableVersion="3" recordCount="0" supportSubquery="1" supportAdvancedDrill="1" xr:uid="{00000000-000A-0000-FFFF-FFFF25000000}">
  <cacheSource type="external" connectionId="1"/>
  <cacheFields count="2">
    <cacheField name="[Список].[Имя].[Имя]" caption="Имя" numFmtId="0" hierarchy="2" level="1">
      <sharedItems count="21">
        <s v="Александр"/>
        <s v="Анастасия"/>
        <s v="Андрей"/>
        <s v="Анна"/>
        <s v="Арсений"/>
        <s v="Артём"/>
        <s v="Богдан"/>
        <s v="Варвара"/>
        <s v="Вероника"/>
        <s v="Виктория"/>
        <s v="Даниил"/>
        <s v="Данил"/>
        <s v="Диера"/>
        <s v="Дмитрий"/>
        <s v="Елизавета"/>
        <s v="Иван"/>
        <s v="Кирена"/>
        <s v="Лев"/>
        <s v="Мария"/>
        <s v="Полина"/>
        <s v="Софья"/>
      </sharedItems>
    </cacheField>
    <cacheField name="[Measures].[Число элементов в столбце Имя]" caption="Число элементов в столбце Имя" numFmtId="0" hierarchy="19" level="32767"/>
  </cacheFields>
  <cacheHierarchies count="21">
    <cacheHierarchy uniqueName="[Список].[№]" caption="№" attribute="1" defaultMemberUniqueName="[Список].[№].[All]" allUniqueName="[Список].[№].[All]" dimensionUniqueName="[Список]" displayFolder="" count="0" memberValueDatatype="20" unbalanced="0"/>
    <cacheHierarchy uniqueName="[Список].[Фамилия, имя]" caption="Фамилия, имя" attribute="1" defaultMemberUniqueName="[Список].[Фамилия, имя].[All]" allUniqueName="[Список].[Фамилия, имя].[All]" dimensionUniqueName="[Список]" displayFolder="" count="0" memberValueDatatype="130" unbalanced="0"/>
    <cacheHierarchy uniqueName="[Список].[Имя]" caption="Имя" attribute="1" defaultMemberUniqueName="[Список].[Имя].[All]" allUniqueName="[Список].[Имя].[All]" dimensionUniqueName="[Список]" displayFolder="" count="2" memberValueDatatype="130" unbalanced="0">
      <fieldsUsage count="2">
        <fieldUsage x="-1"/>
        <fieldUsage x="0"/>
      </fieldsUsage>
    </cacheHierarchy>
    <cacheHierarchy uniqueName="[Список].[Пол]" caption="Пол" attribute="1" defaultMemberUniqueName="[Список].[Пол].[All]" allUniqueName="[Список].[Пол].[All]" dimensionUniqueName="[Список]" displayFolder="" count="0" memberValueDatatype="130" unbalanced="0"/>
    <cacheHierarchy uniqueName="[Список].[Вар. ЛР]" caption="Вар. ЛР" attribute="1" defaultMemberUniqueName="[Список].[Вар. ЛР].[All]" allUniqueName="[Список].[Вар. ЛР].[All]" dimensionUniqueName="[Список]" displayFolder="" count="0" memberValueDatatype="130" unbalanced="0"/>
    <cacheHierarchy uniqueName="[Список].[08.сен]" caption="08.сен" attribute="1" defaultMemberUniqueName="[Список].[08.сен].[All]" allUniqueName="[Список].[08.сен].[All]" dimensionUniqueName="[Список]" displayFolder="" count="0" memberValueDatatype="130" unbalanced="0"/>
    <cacheHierarchy uniqueName="[Список].[22.сен]" caption="22.сен" attribute="1" defaultMemberUniqueName="[Список].[22.сен].[All]" allUniqueName="[Список].[22.сен].[All]" dimensionUniqueName="[Список]" displayFolder="" count="0" memberValueDatatype="130" unbalanced="0"/>
    <cacheHierarchy uniqueName="[Список].[06.окт]" caption="06.окт" attribute="1" defaultMemberUniqueName="[Список].[06.окт].[All]" allUniqueName="[Список].[06.окт].[All]" dimensionUniqueName="[Список]" displayFolder="" count="0" memberValueDatatype="130" unbalanced="0"/>
    <cacheHierarchy uniqueName="[Список].[20.окт]" caption="20.окт" attribute="1" defaultMemberUniqueName="[Список].[20.окт].[All]" allUniqueName="[Список].[20.окт].[All]" dimensionUniqueName="[Список]" displayFolder="" count="0" memberValueDatatype="130" unbalanced="0"/>
    <cacheHierarchy uniqueName="[Список].[17.ноя]" caption="17.ноя" attribute="1" defaultMemberUniqueName="[Список].[17.ноя].[All]" allUniqueName="[Список].[17.ноя].[All]" dimensionUniqueName="[Список]" displayFolder="" count="0" memberValueDatatype="130" unbalanced="0"/>
    <cacheHierarchy uniqueName="[Список].[01.дек]" caption="01.дек" attribute="1" defaultMemberUniqueName="[Список].[01.дек].[All]" allUniqueName="[Список].[01.дек].[All]" dimensionUniqueName="[Список]" displayFolder="" count="0" memberValueDatatype="130" unbalanced="0"/>
    <cacheHierarchy uniqueName="[Список].[15.дек]" caption="15.дек" attribute="1" defaultMemberUniqueName="[Список].[15.дек].[All]" allUniqueName="[Список].[15.дек].[All]" dimensionUniqueName="[Список]" displayFolder="" count="0" memberValueDatatype="130" unbalanced="0"/>
    <cacheHierarchy uniqueName="[Список].[22.дек]" caption="22.дек" attribute="1" defaultMemberUniqueName="[Список].[22.дек].[All]" allUniqueName="[Список].[22.дек].[All]" dimensionUniqueName="[Список]" displayFolder="" count="0" memberValueDatatype="130" unbalanced="0"/>
    <cacheHierarchy uniqueName="[Список].[Встреч]" caption="Встреч" attribute="1" defaultMemberUniqueName="[Список].[Встреч].[All]" allUniqueName="[Список].[Встреч].[All]" dimensionUniqueName="[Список]" displayFolder="" count="0" memberValueDatatype="20" unbalanced="0"/>
    <cacheHierarchy uniqueName="[Список].[27.окт]" caption="27.окт" attribute="1" defaultMemberUniqueName="[Список].[27.окт].[All]" allUniqueName="[Список].[27.окт].[All]" dimensionUniqueName="[Список]" displayFolder="" count="0" memberValueDatatype="20" unbalanced="0"/>
    <cacheHierarchy uniqueName="[Список].[Баллы1]" caption="Баллы1" attribute="1" defaultMemberUniqueName="[Список].[Баллы1].[All]" allUniqueName="[Список].[Баллы1].[All]" dimensionUniqueName="[Список]" displayFolder="" count="0" memberValueDatatype="20" unbalanced="0"/>
    <cacheHierarchy uniqueName="[Список].[Баллы2]" caption="Баллы2" attribute="1" defaultMemberUniqueName="[Список].[Баллы2].[All]" allUniqueName="[Список].[Баллы2].[All]" dimensionUniqueName="[Список]" displayFolder="" count="0" memberValueDatatype="20" unbalanced="0"/>
    <cacheHierarchy uniqueName="[Measures].[__XL_Count Список]" caption="__XL_Count Список" measure="1" displayFolder="" measureGroup="Список" count="0" hidden="1"/>
    <cacheHierarchy uniqueName="[Measures].[__No measures defined]" caption="__No measures defined" measure="1" displayFolder="" count="0" hidden="1"/>
    <cacheHierarchy uniqueName="[Measures].[Число элементов в столбце Имя]" caption="Число элементов в столбце Имя" measure="1" displayFolder="" measureGroup="Список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Число элементов в столбце Пол]" caption="Число элементов в столбце Пол" measure="1" displayFolder="" measureGroup="Список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Список" uniqueName="[Список]" caption="Список"/>
  </dimensions>
  <measureGroups count="1">
    <measureGroup name="Список" caption="Список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Артемьев Валерий Иванович" refreshedDate="45988.549999189818" backgroundQuery="1" createdVersion="8" refreshedVersion="6" minRefreshableVersion="3" recordCount="0" supportSubquery="1" supportAdvancedDrill="1" xr:uid="{00000000-000A-0000-FFFF-FFFF28000000}">
  <cacheSource type="external" connectionId="1"/>
  <cacheFields count="2">
    <cacheField name="[Список].[Пол].[Пол]" caption="Пол" numFmtId="0" hierarchy="3" level="1">
      <sharedItems count="2">
        <s v="ж"/>
        <s v="м"/>
      </sharedItems>
    </cacheField>
    <cacheField name="[Measures].[Число элементов в столбце Пол]" caption="Число элементов в столбце Пол" numFmtId="0" hierarchy="20" level="32767"/>
  </cacheFields>
  <cacheHierarchies count="21">
    <cacheHierarchy uniqueName="[Список].[№]" caption="№" attribute="1" defaultMemberUniqueName="[Список].[№].[All]" allUniqueName="[Список].[№].[All]" dimensionUniqueName="[Список]" displayFolder="" count="0" memberValueDatatype="20" unbalanced="0"/>
    <cacheHierarchy uniqueName="[Список].[Фамилия, имя]" caption="Фамилия, имя" attribute="1" defaultMemberUniqueName="[Список].[Фамилия, имя].[All]" allUniqueName="[Список].[Фамилия, имя].[All]" dimensionUniqueName="[Список]" displayFolder="" count="0" memberValueDatatype="130" unbalanced="0"/>
    <cacheHierarchy uniqueName="[Список].[Имя]" caption="Имя" attribute="1" defaultMemberUniqueName="[Список].[Имя].[All]" allUniqueName="[Список].[Имя].[All]" dimensionUniqueName="[Список]" displayFolder="" count="0" memberValueDatatype="130" unbalanced="0"/>
    <cacheHierarchy uniqueName="[Список].[Пол]" caption="Пол" attribute="1" defaultMemberUniqueName="[Список].[Пол].[All]" allUniqueName="[Список].[Пол].[All]" dimensionUniqueName="[Список]" displayFolder="" count="2" memberValueDatatype="130" unbalanced="0">
      <fieldsUsage count="2">
        <fieldUsage x="-1"/>
        <fieldUsage x="0"/>
      </fieldsUsage>
    </cacheHierarchy>
    <cacheHierarchy uniqueName="[Список].[Вар. ЛР]" caption="Вар. ЛР" attribute="1" defaultMemberUniqueName="[Список].[Вар. ЛР].[All]" allUniqueName="[Список].[Вар. ЛР].[All]" dimensionUniqueName="[Список]" displayFolder="" count="0" memberValueDatatype="130" unbalanced="0"/>
    <cacheHierarchy uniqueName="[Список].[08.сен]" caption="08.сен" attribute="1" defaultMemberUniqueName="[Список].[08.сен].[All]" allUniqueName="[Список].[08.сен].[All]" dimensionUniqueName="[Список]" displayFolder="" count="0" memberValueDatatype="130" unbalanced="0"/>
    <cacheHierarchy uniqueName="[Список].[22.сен]" caption="22.сен" attribute="1" defaultMemberUniqueName="[Список].[22.сен].[All]" allUniqueName="[Список].[22.сен].[All]" dimensionUniqueName="[Список]" displayFolder="" count="0" memberValueDatatype="130" unbalanced="0"/>
    <cacheHierarchy uniqueName="[Список].[06.окт]" caption="06.окт" attribute="1" defaultMemberUniqueName="[Список].[06.окт].[All]" allUniqueName="[Список].[06.окт].[All]" dimensionUniqueName="[Список]" displayFolder="" count="0" memberValueDatatype="130" unbalanced="0"/>
    <cacheHierarchy uniqueName="[Список].[20.окт]" caption="20.окт" attribute="1" defaultMemberUniqueName="[Список].[20.окт].[All]" allUniqueName="[Список].[20.окт].[All]" dimensionUniqueName="[Список]" displayFolder="" count="0" memberValueDatatype="130" unbalanced="0"/>
    <cacheHierarchy uniqueName="[Список].[17.ноя]" caption="17.ноя" attribute="1" defaultMemberUniqueName="[Список].[17.ноя].[All]" allUniqueName="[Список].[17.ноя].[All]" dimensionUniqueName="[Список]" displayFolder="" count="0" memberValueDatatype="130" unbalanced="0"/>
    <cacheHierarchy uniqueName="[Список].[01.дек]" caption="01.дек" attribute="1" defaultMemberUniqueName="[Список].[01.дек].[All]" allUniqueName="[Список].[01.дек].[All]" dimensionUniqueName="[Список]" displayFolder="" count="0" memberValueDatatype="130" unbalanced="0"/>
    <cacheHierarchy uniqueName="[Список].[15.дек]" caption="15.дек" attribute="1" defaultMemberUniqueName="[Список].[15.дек].[All]" allUniqueName="[Список].[15.дек].[All]" dimensionUniqueName="[Список]" displayFolder="" count="0" memberValueDatatype="130" unbalanced="0"/>
    <cacheHierarchy uniqueName="[Список].[22.дек]" caption="22.дек" attribute="1" defaultMemberUniqueName="[Список].[22.дек].[All]" allUniqueName="[Список].[22.дек].[All]" dimensionUniqueName="[Список]" displayFolder="" count="0" memberValueDatatype="130" unbalanced="0"/>
    <cacheHierarchy uniqueName="[Список].[Встреч]" caption="Встреч" attribute="1" defaultMemberUniqueName="[Список].[Встреч].[All]" allUniqueName="[Список].[Встреч].[All]" dimensionUniqueName="[Список]" displayFolder="" count="0" memberValueDatatype="20" unbalanced="0"/>
    <cacheHierarchy uniqueName="[Список].[27.окт]" caption="27.окт" attribute="1" defaultMemberUniqueName="[Список].[27.окт].[All]" allUniqueName="[Список].[27.окт].[All]" dimensionUniqueName="[Список]" displayFolder="" count="0" memberValueDatatype="20" unbalanced="0"/>
    <cacheHierarchy uniqueName="[Список].[Баллы1]" caption="Баллы1" attribute="1" defaultMemberUniqueName="[Список].[Баллы1].[All]" allUniqueName="[Список].[Баллы1].[All]" dimensionUniqueName="[Список]" displayFolder="" count="0" memberValueDatatype="20" unbalanced="0"/>
    <cacheHierarchy uniqueName="[Список].[Баллы2]" caption="Баллы2" attribute="1" defaultMemberUniqueName="[Список].[Баллы2].[All]" allUniqueName="[Список].[Баллы2].[All]" dimensionUniqueName="[Список]" displayFolder="" count="0" memberValueDatatype="20" unbalanced="0"/>
    <cacheHierarchy uniqueName="[Measures].[__XL_Count Список]" caption="__XL_Count Список" measure="1" displayFolder="" measureGroup="Список" count="0" hidden="1"/>
    <cacheHierarchy uniqueName="[Measures].[__No measures defined]" caption="__No measures defined" measure="1" displayFolder="" count="0" hidden="1"/>
    <cacheHierarchy uniqueName="[Measures].[Число элементов в столбце Имя]" caption="Число элементов в столбце Имя" measure="1" displayFolder="" measureGroup="Список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Число элементов в столбце Пол]" caption="Число элементов в столбце Пол" measure="1" displayFolder="" measureGroup="Список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2">
    <dimension measure="1" name="Measures" uniqueName="[Measures]" caption="Measures"/>
    <dimension name="Список" uniqueName="[Список]" caption="Список"/>
  </dimensions>
  <measureGroups count="1">
    <measureGroup name="Список" caption="Список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Артемьев Валерий Иванович" refreshedDate="45988.549999305556" createdVersion="6" refreshedVersion="6" minRefreshableVersion="3" recordCount="27" xr:uid="{00000000-000A-0000-FFFF-FFFF2C000000}">
  <cacheSource type="worksheet">
    <worksheetSource name="Список"/>
  </cacheSource>
  <cacheFields count="17">
    <cacheField name="№" numFmtId="0">
      <sharedItems containsSemiMixedTypes="0" containsString="0" containsNumber="1" containsInteger="1" minValue="1" maxValue="27"/>
    </cacheField>
    <cacheField name="Фамилия, имя" numFmtId="0">
      <sharedItems count="27">
        <s v="Атаманова Софья"/>
        <s v="Ахадова Диера"/>
        <s v="Бабченко Елизавета"/>
        <s v="Волкова Варвара"/>
        <s v="Гаврилова Анна"/>
        <s v="Гаммал Дмитрий"/>
        <s v="Головастикова Полина"/>
        <s v="Горбунова Вероника"/>
        <s v="Дебуля Богдан"/>
        <s v="Коваленко Елизавета"/>
        <s v="Кольцова Анастасия"/>
        <s v="Крючков Даниил"/>
        <s v="Мельникова Полина"/>
        <s v="Митрохина Анастасия"/>
        <s v="Михайлова Виктория"/>
        <s v="Осипов Даниил"/>
        <s v="Прищенко Артём"/>
        <s v="Рак Андрей"/>
        <s v="Рытикова Кирена"/>
        <s v="Сигорский Александр"/>
        <s v="Субочев Иван"/>
        <s v="Уйданов Лев"/>
        <s v="Хабибулин Данил"/>
        <s v="Цугель Арсений"/>
        <s v="Щетинина Анна"/>
        <s v="Якубович Анна"/>
        <s v="Янбухтина Мария"/>
      </sharedItems>
    </cacheField>
    <cacheField name="Имя" numFmtId="0">
      <sharedItems/>
    </cacheField>
    <cacheField name="Пол" numFmtId="0">
      <sharedItems/>
    </cacheField>
    <cacheField name="Вар. ЛР" numFmtId="0">
      <sharedItems containsBlank="1" containsMixedTypes="1" containsNumber="1" containsInteger="1" minValue="1" maxValue="21" count="15">
        <n v="11"/>
        <n v="1"/>
        <n v="18"/>
        <n v="2"/>
        <n v="3"/>
        <n v="4"/>
        <n v="15"/>
        <m/>
        <n v="6"/>
        <s v="?"/>
        <n v="7"/>
        <n v="8"/>
        <n v="9"/>
        <n v="17"/>
        <n v="21"/>
      </sharedItems>
    </cacheField>
    <cacheField name="08.сен" numFmtId="0">
      <sharedItems containsBlank="1"/>
    </cacheField>
    <cacheField name="22.сен" numFmtId="0">
      <sharedItems containsBlank="1" containsMixedTypes="1" containsNumber="1" containsInteger="1" minValue="1" maxValue="1"/>
    </cacheField>
    <cacheField name="06.окт" numFmtId="0">
      <sharedItems containsBlank="1" containsMixedTypes="1" containsNumber="1" containsInteger="1" minValue="1" maxValue="1"/>
    </cacheField>
    <cacheField name="20.окт" numFmtId="0">
      <sharedItems containsBlank="1" containsMixedTypes="1" containsNumber="1" containsInteger="1" minValue="1" maxValue="2"/>
    </cacheField>
    <cacheField name="17.ноя" numFmtId="0">
      <sharedItems containsBlank="1" containsMixedTypes="1" containsNumber="1" containsInteger="1" minValue="2" maxValue="3"/>
    </cacheField>
    <cacheField name="01.дек" numFmtId="0">
      <sharedItems containsNonDate="0" containsString="0" containsBlank="1"/>
    </cacheField>
    <cacheField name="15.дек" numFmtId="0">
      <sharedItems containsNonDate="0" containsString="0" containsBlank="1"/>
    </cacheField>
    <cacheField name="22.дек" numFmtId="0">
      <sharedItems containsNonDate="0" containsString="0" containsBlank="1"/>
    </cacheField>
    <cacheField name="Встреч" numFmtId="0">
      <sharedItems containsSemiMixedTypes="0" containsString="0" containsNumber="1" containsInteger="1" minValue="0" maxValue="5"/>
    </cacheField>
    <cacheField name="27.окт" numFmtId="0">
      <sharedItems containsString="0" containsBlank="1" containsNumber="1" containsInteger="1" minValue="3" maxValue="5"/>
    </cacheField>
    <cacheField name="Баллы1" numFmtId="0">
      <sharedItems containsString="0" containsBlank="1" containsNumber="1" containsInteger="1" minValue="0" maxValue="45"/>
    </cacheField>
    <cacheField name="Баллы2" numFmtId="0">
      <sharedItems containsString="0" containsBlank="1" containsNumber="1" containsInteger="1" minValue="15" maxValue="1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7">
  <r>
    <n v="1"/>
    <x v="0"/>
    <s v="Софья"/>
    <s v="ж"/>
    <x v="0"/>
    <s v="*"/>
    <s v="*"/>
    <m/>
    <m/>
    <m/>
    <m/>
    <m/>
    <m/>
    <n v="2"/>
    <m/>
    <n v="4"/>
    <m/>
  </r>
  <r>
    <n v="2"/>
    <x v="1"/>
    <s v="Диера"/>
    <s v="ж"/>
    <x v="0"/>
    <s v="*"/>
    <m/>
    <m/>
    <m/>
    <m/>
    <m/>
    <m/>
    <m/>
    <n v="1"/>
    <m/>
    <m/>
    <m/>
  </r>
  <r>
    <n v="3"/>
    <x v="2"/>
    <s v="Елизавета"/>
    <s v="ж"/>
    <x v="1"/>
    <s v="*"/>
    <s v="+"/>
    <n v="1"/>
    <s v="+"/>
    <m/>
    <m/>
    <m/>
    <m/>
    <n v="4"/>
    <n v="3"/>
    <n v="29"/>
    <m/>
  </r>
  <r>
    <n v="4"/>
    <x v="3"/>
    <s v="Варвара"/>
    <s v="ж"/>
    <x v="2"/>
    <s v="*"/>
    <s v="*"/>
    <m/>
    <n v="1"/>
    <m/>
    <m/>
    <m/>
    <m/>
    <n v="3"/>
    <m/>
    <n v="15"/>
    <m/>
  </r>
  <r>
    <n v="5"/>
    <x v="4"/>
    <s v="Анна"/>
    <s v="ж"/>
    <x v="3"/>
    <s v="*"/>
    <s v="+"/>
    <m/>
    <n v="1"/>
    <m/>
    <m/>
    <m/>
    <m/>
    <n v="3"/>
    <n v="4"/>
    <n v="27"/>
    <m/>
  </r>
  <r>
    <n v="6"/>
    <x v="5"/>
    <s v="Дмитрий"/>
    <s v="м"/>
    <x v="4"/>
    <s v="*"/>
    <n v="1"/>
    <m/>
    <n v="2"/>
    <n v="3"/>
    <m/>
    <m/>
    <m/>
    <n v="4"/>
    <n v="5"/>
    <n v="45"/>
    <n v="15"/>
  </r>
  <r>
    <n v="7"/>
    <x v="6"/>
    <s v="Полина"/>
    <s v="ж"/>
    <x v="5"/>
    <s v="*"/>
    <s v="+"/>
    <n v="1"/>
    <m/>
    <n v="2"/>
    <m/>
    <m/>
    <m/>
    <n v="4"/>
    <n v="3"/>
    <n v="39"/>
    <m/>
  </r>
  <r>
    <n v="8"/>
    <x v="7"/>
    <s v="Вероника"/>
    <s v="ж"/>
    <x v="6"/>
    <s v="*"/>
    <n v="1"/>
    <s v="+"/>
    <n v="2"/>
    <m/>
    <m/>
    <m/>
    <m/>
    <n v="4"/>
    <n v="5"/>
    <n v="45"/>
    <m/>
  </r>
  <r>
    <n v="9"/>
    <x v="8"/>
    <s v="Богдан"/>
    <s v="м"/>
    <x v="7"/>
    <m/>
    <m/>
    <m/>
    <m/>
    <m/>
    <m/>
    <m/>
    <m/>
    <n v="0"/>
    <m/>
    <n v="0"/>
    <m/>
  </r>
  <r>
    <n v="10"/>
    <x v="9"/>
    <s v="Елизавета"/>
    <s v="ж"/>
    <x v="8"/>
    <s v="*"/>
    <m/>
    <n v="1"/>
    <n v="2"/>
    <m/>
    <m/>
    <m/>
    <m/>
    <n v="3"/>
    <n v="4"/>
    <n v="43"/>
    <m/>
  </r>
  <r>
    <n v="11"/>
    <x v="10"/>
    <s v="Анастасия"/>
    <s v="ж"/>
    <x v="9"/>
    <m/>
    <m/>
    <n v="1"/>
    <n v="2"/>
    <m/>
    <m/>
    <m/>
    <m/>
    <n v="2"/>
    <n v="5"/>
    <n v="45"/>
    <m/>
  </r>
  <r>
    <n v="12"/>
    <x v="11"/>
    <s v="Даниил"/>
    <s v="м"/>
    <x v="10"/>
    <s v="*"/>
    <s v="+"/>
    <s v="+"/>
    <m/>
    <m/>
    <m/>
    <m/>
    <m/>
    <n v="3"/>
    <n v="4"/>
    <n v="24"/>
    <m/>
  </r>
  <r>
    <n v="13"/>
    <x v="12"/>
    <s v="Полина"/>
    <s v="ж"/>
    <x v="8"/>
    <s v="*"/>
    <s v="*"/>
    <n v="1"/>
    <n v="2"/>
    <m/>
    <m/>
    <m/>
    <m/>
    <n v="4"/>
    <n v="4"/>
    <n v="43"/>
    <m/>
  </r>
  <r>
    <n v="14"/>
    <x v="13"/>
    <s v="Анастасия"/>
    <s v="ж"/>
    <x v="2"/>
    <s v="*"/>
    <s v="*"/>
    <m/>
    <n v="1"/>
    <m/>
    <m/>
    <m/>
    <m/>
    <n v="3"/>
    <m/>
    <n v="15"/>
    <m/>
  </r>
  <r>
    <n v="15"/>
    <x v="14"/>
    <s v="Виктория"/>
    <s v="ж"/>
    <x v="11"/>
    <s v="*"/>
    <s v="*"/>
    <m/>
    <n v="1"/>
    <m/>
    <m/>
    <m/>
    <m/>
    <n v="3"/>
    <m/>
    <n v="15"/>
    <m/>
  </r>
  <r>
    <n v="16"/>
    <x v="15"/>
    <s v="Даниил"/>
    <s v="м"/>
    <x v="11"/>
    <s v="*"/>
    <s v="*"/>
    <m/>
    <n v="1"/>
    <m/>
    <m/>
    <m/>
    <m/>
    <n v="3"/>
    <m/>
    <n v="15"/>
    <m/>
  </r>
  <r>
    <n v="17"/>
    <x v="16"/>
    <s v="Артём"/>
    <s v="м"/>
    <x v="12"/>
    <s v="*"/>
    <s v="*"/>
    <n v="1"/>
    <n v="2"/>
    <m/>
    <m/>
    <m/>
    <m/>
    <n v="4"/>
    <m/>
    <n v="30"/>
    <m/>
  </r>
  <r>
    <n v="18"/>
    <x v="17"/>
    <s v="Андрей"/>
    <s v="м"/>
    <x v="13"/>
    <s v="*"/>
    <s v="+"/>
    <n v="1"/>
    <n v="2"/>
    <s v="*"/>
    <m/>
    <m/>
    <m/>
    <n v="5"/>
    <n v="4"/>
    <n v="44"/>
    <m/>
  </r>
  <r>
    <n v="19"/>
    <x v="18"/>
    <s v="Кирена"/>
    <s v="ж"/>
    <x v="5"/>
    <s v="*"/>
    <s v="+"/>
    <n v="1"/>
    <m/>
    <n v="2"/>
    <m/>
    <m/>
    <m/>
    <n v="4"/>
    <n v="4"/>
    <n v="42"/>
    <m/>
  </r>
  <r>
    <n v="20"/>
    <x v="19"/>
    <s v="Александр"/>
    <s v="м"/>
    <x v="12"/>
    <s v="*"/>
    <s v="*"/>
    <n v="1"/>
    <n v="2"/>
    <m/>
    <m/>
    <m/>
    <m/>
    <n v="4"/>
    <n v="5"/>
    <n v="45"/>
    <m/>
  </r>
  <r>
    <n v="21"/>
    <x v="20"/>
    <s v="Иван"/>
    <s v="м"/>
    <x v="14"/>
    <s v="*"/>
    <s v="*"/>
    <s v="+"/>
    <n v="1"/>
    <m/>
    <m/>
    <m/>
    <m/>
    <n v="4"/>
    <m/>
    <n v="15"/>
    <m/>
  </r>
  <r>
    <n v="22"/>
    <x v="21"/>
    <s v="Лев"/>
    <s v="м"/>
    <x v="3"/>
    <s v="*"/>
    <s v="+"/>
    <m/>
    <n v="1"/>
    <m/>
    <m/>
    <m/>
    <m/>
    <n v="3"/>
    <n v="5"/>
    <n v="30"/>
    <m/>
  </r>
  <r>
    <n v="23"/>
    <x v="22"/>
    <s v="Данил"/>
    <s v="м"/>
    <x v="10"/>
    <s v="*"/>
    <m/>
    <s v="+"/>
    <m/>
    <m/>
    <m/>
    <m/>
    <m/>
    <n v="2"/>
    <m/>
    <n v="7"/>
    <m/>
  </r>
  <r>
    <n v="24"/>
    <x v="23"/>
    <s v="Арсений"/>
    <s v="м"/>
    <x v="14"/>
    <s v="*"/>
    <m/>
    <s v="+"/>
    <n v="1"/>
    <m/>
    <m/>
    <m/>
    <m/>
    <n v="3"/>
    <n v="4"/>
    <n v="27"/>
    <m/>
  </r>
  <r>
    <n v="25"/>
    <x v="24"/>
    <s v="Анна"/>
    <s v="ж"/>
    <x v="6"/>
    <s v="*"/>
    <n v="1"/>
    <m/>
    <n v="2"/>
    <m/>
    <m/>
    <m/>
    <m/>
    <n v="3"/>
    <m/>
    <n v="30"/>
    <m/>
  </r>
  <r>
    <n v="26"/>
    <x v="25"/>
    <s v="Анна"/>
    <s v="ж"/>
    <x v="4"/>
    <s v="*"/>
    <n v="1"/>
    <m/>
    <n v="2"/>
    <n v="3"/>
    <m/>
    <m/>
    <m/>
    <n v="4"/>
    <n v="5"/>
    <n v="45"/>
    <n v="15"/>
  </r>
  <r>
    <n v="27"/>
    <x v="26"/>
    <s v="Мария"/>
    <s v="ж"/>
    <x v="1"/>
    <s v="*"/>
    <s v="+"/>
    <n v="1"/>
    <s v="+"/>
    <m/>
    <m/>
    <m/>
    <m/>
    <n v="4"/>
    <n v="4"/>
    <n v="3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Сводная таблица1" cacheId="2" applyNumberFormats="0" applyBorderFormats="0" applyFontFormats="0" applyPatternFormats="0" applyAlignmentFormats="0" applyWidthHeightFormats="1" dataCaption="Значения" updatedVersion="6" minRefreshableVersion="3" useAutoFormatting="1" rowGrandTotals="0" colGrandTotals="0" itemPrintTitles="1" createdVersion="6" indent="0" outline="1" outlineData="1" multipleFieldFilters="0">
  <location ref="B3:D30" firstHeaderRow="0" firstDataRow="1" firstDataCol="1"/>
  <pivotFields count="17">
    <pivotField showAll="0"/>
    <pivotField axis="axisRow" showAll="0" sortType="descending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 defaultSubtotal="0"/>
    <pivotField showAll="0" defaultSubtotal="0"/>
  </pivotFields>
  <rowFields count="1">
    <field x="1"/>
  </rowFields>
  <rowItems count="27">
    <i>
      <x v="25"/>
    </i>
    <i>
      <x v="19"/>
    </i>
    <i>
      <x v="10"/>
    </i>
    <i>
      <x v="5"/>
    </i>
    <i>
      <x v="7"/>
    </i>
    <i>
      <x v="17"/>
    </i>
    <i>
      <x v="9"/>
    </i>
    <i>
      <x v="12"/>
    </i>
    <i>
      <x v="18"/>
    </i>
    <i>
      <x v="6"/>
    </i>
    <i>
      <x v="26"/>
    </i>
    <i>
      <x v="24"/>
    </i>
    <i>
      <x v="21"/>
    </i>
    <i>
      <x v="16"/>
    </i>
    <i>
      <x v="2"/>
    </i>
    <i>
      <x v="23"/>
    </i>
    <i>
      <x v="4"/>
    </i>
    <i>
      <x v="11"/>
    </i>
    <i>
      <x v="20"/>
    </i>
    <i>
      <x v="3"/>
    </i>
    <i>
      <x v="15"/>
    </i>
    <i>
      <x v="14"/>
    </i>
    <i>
      <x v="13"/>
    </i>
    <i>
      <x v="22"/>
    </i>
    <i>
      <x/>
    </i>
    <i>
      <x v="8"/>
    </i>
    <i>
      <x v="1"/>
    </i>
  </rowItems>
  <colFields count="1">
    <field x="-2"/>
  </colFields>
  <colItems count="2">
    <i>
      <x/>
    </i>
    <i i="1">
      <x v="1"/>
    </i>
  </colItems>
  <dataFields count="2">
    <dataField name=" Баллы 1" fld="15" baseField="1" baseItem="0"/>
    <dataField name="РК" fld="14" baseField="1" baseItem="4"/>
  </dataFields>
  <formats count="25">
    <format dxfId="131">
      <pivotArea dataOnly="0" fieldPosition="0">
        <references count="1">
          <reference field="1" count="2">
            <x v="1"/>
            <x v="8"/>
          </reference>
        </references>
      </pivotArea>
    </format>
    <format dxfId="130">
      <pivotArea dataOnly="0" labelOnly="1" fieldPosition="0">
        <references count="1">
          <reference field="1" count="2">
            <x v="1"/>
            <x v="8"/>
          </reference>
        </references>
      </pivotArea>
    </format>
    <format dxfId="129">
      <pivotArea dataOnly="0" fieldPosition="0">
        <references count="1">
          <reference field="1" count="2">
            <x v="0"/>
            <x v="22"/>
          </reference>
        </references>
      </pivotArea>
    </format>
    <format dxfId="128">
      <pivotArea collapsedLevelsAreSubtotals="1" fieldPosition="0">
        <references count="1">
          <reference field="1" count="10">
            <x v="5"/>
            <x v="6"/>
            <x v="7"/>
            <x v="9"/>
            <x v="10"/>
            <x v="12"/>
            <x v="17"/>
            <x v="18"/>
            <x v="19"/>
            <x v="25"/>
          </reference>
        </references>
      </pivotArea>
    </format>
    <format dxfId="127">
      <pivotArea dataOnly="0" labelOnly="1" fieldPosition="0">
        <references count="1">
          <reference field="1" count="10">
            <x v="5"/>
            <x v="6"/>
            <x v="7"/>
            <x v="9"/>
            <x v="10"/>
            <x v="12"/>
            <x v="17"/>
            <x v="18"/>
            <x v="19"/>
            <x v="25"/>
          </reference>
        </references>
      </pivotArea>
    </format>
    <format dxfId="126">
      <pivotArea collapsedLevelsAreSubtotals="1" fieldPosition="0">
        <references count="1">
          <reference field="1" count="5">
            <x v="3"/>
            <x v="13"/>
            <x v="14"/>
            <x v="15"/>
            <x v="20"/>
          </reference>
        </references>
      </pivotArea>
    </format>
    <format dxfId="125">
      <pivotArea dataOnly="0" labelOnly="1" fieldPosition="0">
        <references count="1">
          <reference field="1" count="5">
            <x v="3"/>
            <x v="13"/>
            <x v="14"/>
            <x v="15"/>
            <x v="20"/>
          </reference>
        </references>
      </pivotArea>
    </format>
    <format dxfId="124">
      <pivotArea collapsedLevelsAreSubtotals="1" fieldPosition="0">
        <references count="1">
          <reference field="1" count="8">
            <x v="2"/>
            <x v="4"/>
            <x v="11"/>
            <x v="16"/>
            <x v="21"/>
            <x v="23"/>
            <x v="24"/>
            <x v="26"/>
          </reference>
        </references>
      </pivotArea>
    </format>
    <format dxfId="123">
      <pivotArea dataOnly="0" labelOnly="1" fieldPosition="0">
        <references count="1">
          <reference field="1" count="8">
            <x v="2"/>
            <x v="4"/>
            <x v="11"/>
            <x v="16"/>
            <x v="21"/>
            <x v="23"/>
            <x v="24"/>
            <x v="26"/>
          </reference>
        </references>
      </pivotArea>
    </format>
    <format dxfId="12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1">
      <pivotArea collapsedLevelsAreSubtotals="1" fieldPosition="0">
        <references count="1">
          <reference field="1" count="1">
            <x v="1"/>
          </reference>
        </references>
      </pivotArea>
    </format>
    <format dxfId="120">
      <pivotArea dataOnly="0" labelOnly="1" fieldPosition="0">
        <references count="1">
          <reference field="1" count="1">
            <x v="1"/>
          </reference>
        </references>
      </pivotArea>
    </format>
    <format dxfId="119">
      <pivotArea collapsedLevelsAreSubtotals="1" fieldPosition="0">
        <references count="1">
          <reference field="1" count="1">
            <x v="1"/>
          </reference>
        </references>
      </pivotArea>
    </format>
    <format dxfId="118">
      <pivotArea dataOnly="0" labelOnly="1" fieldPosition="0">
        <references count="1">
          <reference field="1" count="1">
            <x v="1"/>
          </reference>
        </references>
      </pivotArea>
    </format>
    <format dxfId="11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16">
      <pivotArea dataOnly="0" labelOnly="1" fieldPosition="0">
        <references count="1">
          <reference field="1" count="2">
            <x v="16"/>
            <x v="24"/>
          </reference>
        </references>
      </pivotArea>
    </format>
    <format dxfId="115">
      <pivotArea dataOnly="0" labelOnly="1" fieldPosition="0">
        <references count="1">
          <reference field="1" count="1">
            <x v="11"/>
          </reference>
        </references>
      </pivotArea>
    </format>
    <format dxfId="114">
      <pivotArea dataOnly="0" labelOnly="1" fieldPosition="0">
        <references count="1">
          <reference field="1" count="7">
            <x v="0"/>
            <x v="3"/>
            <x v="13"/>
            <x v="14"/>
            <x v="15"/>
            <x v="20"/>
            <x v="22"/>
          </reference>
        </references>
      </pivotArea>
    </format>
    <format dxfId="113">
      <pivotArea dataOnly="0" labelOnly="1" fieldPosition="0">
        <references count="1">
          <reference field="1" count="2">
            <x v="16"/>
            <x v="24"/>
          </reference>
        </references>
      </pivotArea>
    </format>
    <format dxfId="112">
      <pivotArea dataOnly="0" labelOnly="1" fieldPosition="0">
        <references count="1">
          <reference field="1" count="7">
            <x v="0"/>
            <x v="3"/>
            <x v="13"/>
            <x v="14"/>
            <x v="15"/>
            <x v="20"/>
            <x v="22"/>
          </reference>
        </references>
      </pivotArea>
    </format>
    <format dxfId="111">
      <pivotArea dataOnly="0" labelOnly="1" fieldPosition="0">
        <references count="1">
          <reference field="1" count="9">
            <x v="0"/>
            <x v="1"/>
            <x v="3"/>
            <x v="8"/>
            <x v="13"/>
            <x v="14"/>
            <x v="15"/>
            <x v="20"/>
            <x v="22"/>
          </reference>
        </references>
      </pivotArea>
    </format>
    <format dxfId="110">
      <pivotArea dataOnly="0" labelOnly="1" fieldPosition="0">
        <references count="1">
          <reference field="1" count="2">
            <x v="16"/>
            <x v="24"/>
          </reference>
        </references>
      </pivotArea>
    </format>
    <format dxfId="109">
      <pivotArea dataOnly="0" labelOnly="1" fieldPosition="0">
        <references count="1">
          <reference field="1" count="2">
            <x v="16"/>
            <x v="24"/>
          </reference>
        </references>
      </pivotArea>
    </format>
    <format dxfId="108">
      <pivotArea dataOnly="0" labelOnly="1" fieldPosition="0">
        <references count="1">
          <reference field="1" count="5">
            <x v="3"/>
            <x v="13"/>
            <x v="14"/>
            <x v="15"/>
            <x v="20"/>
          </reference>
        </references>
      </pivotArea>
    </format>
    <format dxfId="107">
      <pivotArea dataOnly="0" labelOnly="1" fieldPosition="0">
        <references count="1">
          <reference field="1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Сводная таблица2" cacheId="2" applyNumberFormats="0" applyBorderFormats="0" applyFontFormats="0" applyPatternFormats="0" applyAlignmentFormats="0" applyWidthHeightFormats="1" dataCaption="Значения" updatedVersion="6" minRefreshableVersion="3" showDrill="0" useAutoFormatting="1" rowGrandTotals="0" colGrandTotals="0" itemPrintTitles="1" createdVersion="6" indent="0" compact="0" compactData="0" multipleFieldFilters="0">
  <location ref="B3:E30" firstHeaderRow="0" firstDataRow="1" firstDataCol="2"/>
  <pivotFields count="17">
    <pivotField compact="0" outline="0" showAll="0"/>
    <pivotField axis="axisRow" compact="0" outline="0" showAll="0" sortType="descending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name="Группа" axis="axisRow" compact="0" outline="0" showAll="0" defaultSubtotal="0">
      <items count="15">
        <item x="1"/>
        <item x="3"/>
        <item x="4"/>
        <item x="5"/>
        <item x="8"/>
        <item x="10"/>
        <item x="11"/>
        <item x="12"/>
        <item x="0"/>
        <item x="6"/>
        <item x="13"/>
        <item x="2"/>
        <item x="14"/>
        <item x="9"/>
        <item x="7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 defaultSubtotal="0"/>
    <pivotField compact="0" outline="0" showAll="0" defaultSubtotal="0"/>
  </pivotFields>
  <rowFields count="2">
    <field x="4"/>
    <field x="1"/>
  </rowFields>
  <rowItems count="27">
    <i>
      <x/>
      <x v="26"/>
    </i>
    <i r="1">
      <x v="2"/>
    </i>
    <i>
      <x v="1"/>
      <x v="21"/>
    </i>
    <i r="1">
      <x v="4"/>
    </i>
    <i>
      <x v="2"/>
      <x v="25"/>
    </i>
    <i r="1">
      <x v="5"/>
    </i>
    <i>
      <x v="3"/>
      <x v="18"/>
    </i>
    <i r="1">
      <x v="6"/>
    </i>
    <i>
      <x v="4"/>
      <x v="12"/>
    </i>
    <i r="1">
      <x v="9"/>
    </i>
    <i>
      <x v="5"/>
      <x v="11"/>
    </i>
    <i r="1">
      <x v="22"/>
    </i>
    <i>
      <x v="6"/>
      <x v="15"/>
    </i>
    <i r="1">
      <x v="14"/>
    </i>
    <i>
      <x v="7"/>
      <x v="19"/>
    </i>
    <i r="1">
      <x v="16"/>
    </i>
    <i>
      <x v="8"/>
      <x/>
    </i>
    <i r="1">
      <x v="1"/>
    </i>
    <i>
      <x v="9"/>
      <x v="7"/>
    </i>
    <i r="1">
      <x v="24"/>
    </i>
    <i>
      <x v="10"/>
      <x v="17"/>
    </i>
    <i>
      <x v="11"/>
      <x v="13"/>
    </i>
    <i r="1">
      <x v="3"/>
    </i>
    <i>
      <x v="12"/>
      <x v="23"/>
    </i>
    <i r="1">
      <x v="20"/>
    </i>
    <i>
      <x v="13"/>
      <x v="10"/>
    </i>
    <i>
      <x v="14"/>
      <x v="8"/>
    </i>
  </rowItems>
  <colFields count="1">
    <field x="-2"/>
  </colFields>
  <colItems count="2">
    <i>
      <x/>
    </i>
    <i i="1">
      <x v="1"/>
    </i>
  </colItems>
  <dataFields count="2">
    <dataField name=" Баллы 1" fld="15" baseField="1" baseItem="0"/>
    <dataField name="РК" fld="14" baseField="1" baseItem="4"/>
  </dataFields>
  <formats count="48">
    <format dxfId="106">
      <pivotArea dataOnly="0" fieldPosition="0">
        <references count="1">
          <reference field="1" count="2">
            <x v="1"/>
            <x v="8"/>
          </reference>
        </references>
      </pivotArea>
    </format>
    <format dxfId="105">
      <pivotArea dataOnly="0" labelOnly="1" fieldPosition="0">
        <references count="1">
          <reference field="1" count="2">
            <x v="1"/>
            <x v="8"/>
          </reference>
        </references>
      </pivotArea>
    </format>
    <format dxfId="104">
      <pivotArea dataOnly="0" fieldPosition="0">
        <references count="1">
          <reference field="1" count="2">
            <x v="0"/>
            <x v="22"/>
          </reference>
        </references>
      </pivotArea>
    </format>
    <format dxfId="103">
      <pivotArea collapsedLevelsAreSubtotals="1" fieldPosition="0">
        <references count="1">
          <reference field="1" count="10">
            <x v="5"/>
            <x v="6"/>
            <x v="7"/>
            <x v="9"/>
            <x v="10"/>
            <x v="12"/>
            <x v="17"/>
            <x v="18"/>
            <x v="19"/>
            <x v="25"/>
          </reference>
        </references>
      </pivotArea>
    </format>
    <format dxfId="102">
      <pivotArea dataOnly="0" labelOnly="1" fieldPosition="0">
        <references count="1">
          <reference field="1" count="10">
            <x v="5"/>
            <x v="6"/>
            <x v="7"/>
            <x v="9"/>
            <x v="10"/>
            <x v="12"/>
            <x v="17"/>
            <x v="18"/>
            <x v="19"/>
            <x v="25"/>
          </reference>
        </references>
      </pivotArea>
    </format>
    <format dxfId="101">
      <pivotArea collapsedLevelsAreSubtotals="1" fieldPosition="0">
        <references count="1">
          <reference field="1" count="5">
            <x v="3"/>
            <x v="13"/>
            <x v="14"/>
            <x v="15"/>
            <x v="20"/>
          </reference>
        </references>
      </pivotArea>
    </format>
    <format dxfId="100">
      <pivotArea dataOnly="0" labelOnly="1" fieldPosition="0">
        <references count="1">
          <reference field="1" count="5">
            <x v="3"/>
            <x v="13"/>
            <x v="14"/>
            <x v="15"/>
            <x v="20"/>
          </reference>
        </references>
      </pivotArea>
    </format>
    <format dxfId="99">
      <pivotArea collapsedLevelsAreSubtotals="1" fieldPosition="0">
        <references count="1">
          <reference field="1" count="8">
            <x v="2"/>
            <x v="4"/>
            <x v="11"/>
            <x v="16"/>
            <x v="21"/>
            <x v="23"/>
            <x v="24"/>
            <x v="26"/>
          </reference>
        </references>
      </pivotArea>
    </format>
    <format dxfId="98">
      <pivotArea dataOnly="0" labelOnly="1" fieldPosition="0">
        <references count="1">
          <reference field="1" count="8">
            <x v="2"/>
            <x v="4"/>
            <x v="11"/>
            <x v="16"/>
            <x v="21"/>
            <x v="23"/>
            <x v="24"/>
            <x v="26"/>
          </reference>
        </references>
      </pivotArea>
    </format>
    <format dxfId="97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6">
      <pivotArea collapsedLevelsAreSubtotals="1" fieldPosition="0">
        <references count="1">
          <reference field="1" count="1">
            <x v="1"/>
          </reference>
        </references>
      </pivotArea>
    </format>
    <format dxfId="95">
      <pivotArea dataOnly="0" labelOnly="1" fieldPosition="0">
        <references count="1">
          <reference field="1" count="1">
            <x v="1"/>
          </reference>
        </references>
      </pivotArea>
    </format>
    <format dxfId="94">
      <pivotArea collapsedLevelsAreSubtotals="1" fieldPosition="0">
        <references count="1">
          <reference field="1" count="1">
            <x v="1"/>
          </reference>
        </references>
      </pivotArea>
    </format>
    <format dxfId="93">
      <pivotArea dataOnly="0" labelOnly="1" fieldPosition="0">
        <references count="1">
          <reference field="1" count="1">
            <x v="1"/>
          </reference>
        </references>
      </pivotArea>
    </format>
    <format dxfId="9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91">
      <pivotArea dataOnly="0" labelOnly="1" fieldPosition="0">
        <references count="1">
          <reference field="1" count="2">
            <x v="16"/>
            <x v="24"/>
          </reference>
        </references>
      </pivotArea>
    </format>
    <format dxfId="90">
      <pivotArea dataOnly="0" labelOnly="1" fieldPosition="0">
        <references count="1">
          <reference field="1" count="1">
            <x v="11"/>
          </reference>
        </references>
      </pivotArea>
    </format>
    <format dxfId="89">
      <pivotArea dataOnly="0" labelOnly="1" fieldPosition="0">
        <references count="1">
          <reference field="1" count="7">
            <x v="0"/>
            <x v="3"/>
            <x v="13"/>
            <x v="14"/>
            <x v="15"/>
            <x v="20"/>
            <x v="22"/>
          </reference>
        </references>
      </pivotArea>
    </format>
    <format dxfId="88">
      <pivotArea dataOnly="0" labelOnly="1" fieldPosition="0">
        <references count="1">
          <reference field="1" count="2">
            <x v="16"/>
            <x v="24"/>
          </reference>
        </references>
      </pivotArea>
    </format>
    <format dxfId="87">
      <pivotArea dataOnly="0" labelOnly="1" fieldPosition="0">
        <references count="1">
          <reference field="1" count="7">
            <x v="0"/>
            <x v="3"/>
            <x v="13"/>
            <x v="14"/>
            <x v="15"/>
            <x v="20"/>
            <x v="22"/>
          </reference>
        </references>
      </pivotArea>
    </format>
    <format dxfId="86">
      <pivotArea dataOnly="0" labelOnly="1" fieldPosition="0">
        <references count="1">
          <reference field="1" count="9">
            <x v="0"/>
            <x v="1"/>
            <x v="3"/>
            <x v="8"/>
            <x v="13"/>
            <x v="14"/>
            <x v="15"/>
            <x v="20"/>
            <x v="22"/>
          </reference>
        </references>
      </pivotArea>
    </format>
    <format dxfId="85">
      <pivotArea dataOnly="0" labelOnly="1" fieldPosition="0">
        <references count="1">
          <reference field="1" count="2">
            <x v="16"/>
            <x v="24"/>
          </reference>
        </references>
      </pivotArea>
    </format>
    <format dxfId="84">
      <pivotArea dataOnly="0" labelOnly="1" fieldPosition="0">
        <references count="1">
          <reference field="1" count="2">
            <x v="16"/>
            <x v="24"/>
          </reference>
        </references>
      </pivotArea>
    </format>
    <format dxfId="83">
      <pivotArea dataOnly="0" labelOnly="1" fieldPosition="0">
        <references count="1">
          <reference field="1" count="5">
            <x v="3"/>
            <x v="13"/>
            <x v="14"/>
            <x v="15"/>
            <x v="20"/>
          </reference>
        </references>
      </pivotArea>
    </format>
    <format dxfId="82">
      <pivotArea dataOnly="0" labelOnly="1" fieldPosition="0">
        <references count="1">
          <reference field="1" count="1">
            <x v="1"/>
          </reference>
        </references>
      </pivotArea>
    </format>
    <format dxfId="81">
      <pivotArea outline="0" collapsedLevelsAreSubtotals="1" fieldPosition="0"/>
    </format>
    <format dxfId="80">
      <pivotArea dataOnly="0" labelOnly="1" fieldPosition="0">
        <references count="1">
          <reference field="1" count="0"/>
        </references>
      </pivotArea>
    </format>
    <format dxfId="79">
      <pivotArea outline="0" collapsedLevelsAreSubtotals="1" fieldPosition="0"/>
    </format>
    <format dxfId="78">
      <pivotArea dataOnly="0" labelOnly="1" fieldPosition="0">
        <references count="1">
          <reference field="1" count="0"/>
        </references>
      </pivotArea>
    </format>
    <format dxfId="77">
      <pivotArea dataOnly="0" labelOnly="1" outline="0" fieldPosition="0">
        <references count="1">
          <reference field="4" count="0"/>
        </references>
      </pivotArea>
    </format>
    <format dxfId="76">
      <pivotArea dataOnly="0" labelOnly="1" outline="0" fieldPosition="0">
        <references count="1">
          <reference field="4" count="0"/>
        </references>
      </pivotArea>
    </format>
    <format dxfId="75">
      <pivotArea outline="0" collapsedLevelsAreSubtotals="1" fieldPosition="0"/>
    </format>
    <format dxfId="74">
      <pivotArea dataOnly="0" labelOnly="1" outline="0" fieldPosition="0">
        <references count="2">
          <reference field="1" count="2">
            <x v="2"/>
            <x v="26"/>
          </reference>
          <reference field="4" count="1" selected="0">
            <x v="0"/>
          </reference>
        </references>
      </pivotArea>
    </format>
    <format dxfId="73">
      <pivotArea dataOnly="0" labelOnly="1" outline="0" fieldPosition="0">
        <references count="2">
          <reference field="1" count="2">
            <x v="4"/>
            <x v="21"/>
          </reference>
          <reference field="4" count="1" selected="0">
            <x v="1"/>
          </reference>
        </references>
      </pivotArea>
    </format>
    <format dxfId="72">
      <pivotArea dataOnly="0" labelOnly="1" outline="0" fieldPosition="0">
        <references count="2">
          <reference field="1" count="2">
            <x v="5"/>
            <x v="25"/>
          </reference>
          <reference field="4" count="1" selected="0">
            <x v="2"/>
          </reference>
        </references>
      </pivotArea>
    </format>
    <format dxfId="71">
      <pivotArea dataOnly="0" labelOnly="1" outline="0" fieldPosition="0">
        <references count="2">
          <reference field="1" count="2">
            <x v="6"/>
            <x v="18"/>
          </reference>
          <reference field="4" count="1" selected="0">
            <x v="3"/>
          </reference>
        </references>
      </pivotArea>
    </format>
    <format dxfId="70">
      <pivotArea dataOnly="0" labelOnly="1" outline="0" fieldPosition="0">
        <references count="2">
          <reference field="1" count="2">
            <x v="9"/>
            <x v="12"/>
          </reference>
          <reference field="4" count="1" selected="0">
            <x v="4"/>
          </reference>
        </references>
      </pivotArea>
    </format>
    <format dxfId="69">
      <pivotArea dataOnly="0" labelOnly="1" outline="0" fieldPosition="0">
        <references count="2">
          <reference field="1" count="2">
            <x v="11"/>
            <x v="22"/>
          </reference>
          <reference field="4" count="1" selected="0">
            <x v="5"/>
          </reference>
        </references>
      </pivotArea>
    </format>
    <format dxfId="68">
      <pivotArea dataOnly="0" labelOnly="1" outline="0" fieldPosition="0">
        <references count="2">
          <reference field="1" count="2">
            <x v="14"/>
            <x v="15"/>
          </reference>
          <reference field="4" count="1" selected="0">
            <x v="6"/>
          </reference>
        </references>
      </pivotArea>
    </format>
    <format dxfId="67">
      <pivotArea dataOnly="0" labelOnly="1" outline="0" fieldPosition="0">
        <references count="2">
          <reference field="1" count="2">
            <x v="16"/>
            <x v="19"/>
          </reference>
          <reference field="4" count="1" selected="0">
            <x v="7"/>
          </reference>
        </references>
      </pivotArea>
    </format>
    <format dxfId="66">
      <pivotArea dataOnly="0" labelOnly="1" outline="0" fieldPosition="0">
        <references count="2">
          <reference field="1" count="2">
            <x v="0"/>
            <x v="1"/>
          </reference>
          <reference field="4" count="1" selected="0">
            <x v="8"/>
          </reference>
        </references>
      </pivotArea>
    </format>
    <format dxfId="65">
      <pivotArea dataOnly="0" labelOnly="1" outline="0" fieldPosition="0">
        <references count="2">
          <reference field="1" count="2">
            <x v="7"/>
            <x v="24"/>
          </reference>
          <reference field="4" count="1" selected="0">
            <x v="9"/>
          </reference>
        </references>
      </pivotArea>
    </format>
    <format dxfId="64">
      <pivotArea dataOnly="0" labelOnly="1" outline="0" fieldPosition="0">
        <references count="2">
          <reference field="1" count="1">
            <x v="17"/>
          </reference>
          <reference field="4" count="1" selected="0">
            <x v="10"/>
          </reference>
        </references>
      </pivotArea>
    </format>
    <format dxfId="63">
      <pivotArea dataOnly="0" labelOnly="1" outline="0" fieldPosition="0">
        <references count="2">
          <reference field="1" count="2">
            <x v="3"/>
            <x v="13"/>
          </reference>
          <reference field="4" count="1" selected="0">
            <x v="11"/>
          </reference>
        </references>
      </pivotArea>
    </format>
    <format dxfId="62">
      <pivotArea dataOnly="0" labelOnly="1" outline="0" fieldPosition="0">
        <references count="2">
          <reference field="1" count="2">
            <x v="20"/>
            <x v="23"/>
          </reference>
          <reference field="4" count="1" selected="0">
            <x v="12"/>
          </reference>
        </references>
      </pivotArea>
    </format>
    <format dxfId="61">
      <pivotArea dataOnly="0" labelOnly="1" outline="0" fieldPosition="0">
        <references count="2">
          <reference field="1" count="1">
            <x v="10"/>
          </reference>
          <reference field="4" count="1" selected="0">
            <x v="13"/>
          </reference>
        </references>
      </pivotArea>
    </format>
    <format dxfId="60">
      <pivotArea dataOnly="0" labelOnly="1" outline="0" fieldPosition="0">
        <references count="2">
          <reference field="1" count="1">
            <x v="8"/>
          </reference>
          <reference field="4" count="1" selected="0">
            <x v="14"/>
          </reference>
        </references>
      </pivotArea>
    </format>
    <format dxfId="59">
      <pivotArea outline="0" fieldPosition="0">
        <references count="1">
          <reference field="4294967294" count="1" selected="0"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2000000}" name="Сводная таблица3" cacheId="2" applyNumberFormats="0" applyBorderFormats="0" applyFontFormats="0" applyPatternFormats="0" applyAlignmentFormats="0" applyWidthHeightFormats="1" dataCaption="Значения" updatedVersion="6" minRefreshableVersion="3" showDrill="0" useAutoFormatting="1" rowGrandTotals="0" colGrandTotals="0" itemPrintTitles="1" createdVersion="6" indent="0" compact="0" compactData="0" multipleFieldFilters="0">
  <location ref="B3:D30" firstHeaderRow="0" firstDataRow="1" firstDataCol="1"/>
  <pivotFields count="17">
    <pivotField compact="0" outline="0" showAll="0"/>
    <pivotField axis="axisRow" compact="0" outline="0" showAll="0" sortType="descending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name="Группа" compact="0" outline="0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 defaultSubtotal="0"/>
    <pivotField compact="0" outline="0" showAll="0" defaultSubtotal="0"/>
  </pivotFields>
  <rowFields count="1">
    <field x="1"/>
  </rowFields>
  <rowItems count="27">
    <i>
      <x v="25"/>
    </i>
    <i>
      <x v="19"/>
    </i>
    <i>
      <x v="10"/>
    </i>
    <i>
      <x v="5"/>
    </i>
    <i>
      <x v="7"/>
    </i>
    <i>
      <x v="17"/>
    </i>
    <i>
      <x v="9"/>
    </i>
    <i>
      <x v="12"/>
    </i>
    <i>
      <x v="18"/>
    </i>
    <i>
      <x v="6"/>
    </i>
    <i>
      <x v="26"/>
    </i>
    <i>
      <x v="24"/>
    </i>
    <i>
      <x v="21"/>
    </i>
    <i>
      <x v="16"/>
    </i>
    <i>
      <x v="2"/>
    </i>
    <i>
      <x v="23"/>
    </i>
    <i>
      <x v="4"/>
    </i>
    <i>
      <x v="11"/>
    </i>
    <i>
      <x v="20"/>
    </i>
    <i>
      <x v="3"/>
    </i>
    <i>
      <x v="15"/>
    </i>
    <i>
      <x v="14"/>
    </i>
    <i>
      <x v="13"/>
    </i>
    <i>
      <x v="22"/>
    </i>
    <i>
      <x/>
    </i>
    <i>
      <x v="8"/>
    </i>
    <i>
      <x v="1"/>
    </i>
  </rowItems>
  <colFields count="1">
    <field x="-2"/>
  </colFields>
  <colItems count="2">
    <i>
      <x/>
    </i>
    <i i="1">
      <x v="1"/>
    </i>
  </colItems>
  <dataFields count="2">
    <dataField name=" Баллы 1" fld="15" baseField="1" baseItem="0"/>
    <dataField name="РК" fld="14" baseField="1" baseItem="4"/>
  </dataFields>
  <formats count="33">
    <format dxfId="58">
      <pivotArea dataOnly="0" fieldPosition="0">
        <references count="1">
          <reference field="1" count="2">
            <x v="1"/>
            <x v="8"/>
          </reference>
        </references>
      </pivotArea>
    </format>
    <format dxfId="57">
      <pivotArea dataOnly="0" labelOnly="1" fieldPosition="0">
        <references count="1">
          <reference field="1" count="2">
            <x v="1"/>
            <x v="8"/>
          </reference>
        </references>
      </pivotArea>
    </format>
    <format dxfId="56">
      <pivotArea dataOnly="0" fieldPosition="0">
        <references count="1">
          <reference field="1" count="2">
            <x v="0"/>
            <x v="22"/>
          </reference>
        </references>
      </pivotArea>
    </format>
    <format dxfId="55">
      <pivotArea collapsedLevelsAreSubtotals="1" fieldPosition="0">
        <references count="1">
          <reference field="1" count="10">
            <x v="5"/>
            <x v="6"/>
            <x v="7"/>
            <x v="9"/>
            <x v="10"/>
            <x v="12"/>
            <x v="17"/>
            <x v="18"/>
            <x v="19"/>
            <x v="25"/>
          </reference>
        </references>
      </pivotArea>
    </format>
    <format dxfId="54">
      <pivotArea dataOnly="0" labelOnly="1" fieldPosition="0">
        <references count="1">
          <reference field="1" count="10">
            <x v="5"/>
            <x v="6"/>
            <x v="7"/>
            <x v="9"/>
            <x v="10"/>
            <x v="12"/>
            <x v="17"/>
            <x v="18"/>
            <x v="19"/>
            <x v="25"/>
          </reference>
        </references>
      </pivotArea>
    </format>
    <format dxfId="53">
      <pivotArea collapsedLevelsAreSubtotals="1" fieldPosition="0">
        <references count="1">
          <reference field="1" count="5">
            <x v="3"/>
            <x v="13"/>
            <x v="14"/>
            <x v="15"/>
            <x v="20"/>
          </reference>
        </references>
      </pivotArea>
    </format>
    <format dxfId="52">
      <pivotArea dataOnly="0" labelOnly="1" fieldPosition="0">
        <references count="1">
          <reference field="1" count="5">
            <x v="3"/>
            <x v="13"/>
            <x v="14"/>
            <x v="15"/>
            <x v="20"/>
          </reference>
        </references>
      </pivotArea>
    </format>
    <format dxfId="51">
      <pivotArea collapsedLevelsAreSubtotals="1" fieldPosition="0">
        <references count="1">
          <reference field="1" count="8">
            <x v="2"/>
            <x v="4"/>
            <x v="11"/>
            <x v="16"/>
            <x v="21"/>
            <x v="23"/>
            <x v="24"/>
            <x v="26"/>
          </reference>
        </references>
      </pivotArea>
    </format>
    <format dxfId="50">
      <pivotArea dataOnly="0" labelOnly="1" fieldPosition="0">
        <references count="1">
          <reference field="1" count="8">
            <x v="2"/>
            <x v="4"/>
            <x v="11"/>
            <x v="16"/>
            <x v="21"/>
            <x v="23"/>
            <x v="24"/>
            <x v="26"/>
          </reference>
        </references>
      </pivotArea>
    </format>
    <format dxfId="4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8">
      <pivotArea collapsedLevelsAreSubtotals="1" fieldPosition="0">
        <references count="1">
          <reference field="1" count="1">
            <x v="1"/>
          </reference>
        </references>
      </pivotArea>
    </format>
    <format dxfId="47">
      <pivotArea dataOnly="0" labelOnly="1" fieldPosition="0">
        <references count="1">
          <reference field="1" count="1">
            <x v="1"/>
          </reference>
        </references>
      </pivotArea>
    </format>
    <format dxfId="46">
      <pivotArea collapsedLevelsAreSubtotals="1" fieldPosition="0">
        <references count="1">
          <reference field="1" count="1">
            <x v="1"/>
          </reference>
        </references>
      </pivotArea>
    </format>
    <format dxfId="45">
      <pivotArea dataOnly="0" labelOnly="1" fieldPosition="0">
        <references count="1">
          <reference field="1" count="1">
            <x v="1"/>
          </reference>
        </references>
      </pivotArea>
    </format>
    <format dxfId="4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3">
      <pivotArea dataOnly="0" labelOnly="1" fieldPosition="0">
        <references count="1">
          <reference field="1" count="2">
            <x v="16"/>
            <x v="24"/>
          </reference>
        </references>
      </pivotArea>
    </format>
    <format dxfId="42">
      <pivotArea dataOnly="0" labelOnly="1" fieldPosition="0">
        <references count="1">
          <reference field="1" count="1">
            <x v="11"/>
          </reference>
        </references>
      </pivotArea>
    </format>
    <format dxfId="41">
      <pivotArea dataOnly="0" labelOnly="1" fieldPosition="0">
        <references count="1">
          <reference field="1" count="7">
            <x v="0"/>
            <x v="3"/>
            <x v="13"/>
            <x v="14"/>
            <x v="15"/>
            <x v="20"/>
            <x v="22"/>
          </reference>
        </references>
      </pivotArea>
    </format>
    <format dxfId="40">
      <pivotArea dataOnly="0" labelOnly="1" fieldPosition="0">
        <references count="1">
          <reference field="1" count="2">
            <x v="16"/>
            <x v="24"/>
          </reference>
        </references>
      </pivotArea>
    </format>
    <format dxfId="39">
      <pivotArea dataOnly="0" labelOnly="1" fieldPosition="0">
        <references count="1">
          <reference field="1" count="7">
            <x v="0"/>
            <x v="3"/>
            <x v="13"/>
            <x v="14"/>
            <x v="15"/>
            <x v="20"/>
            <x v="22"/>
          </reference>
        </references>
      </pivotArea>
    </format>
    <format dxfId="38">
      <pivotArea dataOnly="0" labelOnly="1" fieldPosition="0">
        <references count="1">
          <reference field="1" count="9">
            <x v="0"/>
            <x v="1"/>
            <x v="3"/>
            <x v="8"/>
            <x v="13"/>
            <x v="14"/>
            <x v="15"/>
            <x v="20"/>
            <x v="22"/>
          </reference>
        </references>
      </pivotArea>
    </format>
    <format dxfId="37">
      <pivotArea dataOnly="0" labelOnly="1" fieldPosition="0">
        <references count="1">
          <reference field="1" count="2">
            <x v="16"/>
            <x v="24"/>
          </reference>
        </references>
      </pivotArea>
    </format>
    <format dxfId="36">
      <pivotArea dataOnly="0" labelOnly="1" fieldPosition="0">
        <references count="1">
          <reference field="1" count="2">
            <x v="16"/>
            <x v="24"/>
          </reference>
        </references>
      </pivotArea>
    </format>
    <format dxfId="35">
      <pivotArea dataOnly="0" labelOnly="1" fieldPosition="0">
        <references count="1">
          <reference field="1" count="5">
            <x v="3"/>
            <x v="13"/>
            <x v="14"/>
            <x v="15"/>
            <x v="20"/>
          </reference>
        </references>
      </pivotArea>
    </format>
    <format dxfId="34">
      <pivotArea dataOnly="0" labelOnly="1" fieldPosition="0">
        <references count="1">
          <reference field="1" count="1">
            <x v="1"/>
          </reference>
        </references>
      </pivotArea>
    </format>
    <format dxfId="33">
      <pivotArea outline="0" collapsedLevelsAreSubtotals="1" fieldPosition="0"/>
    </format>
    <format dxfId="32">
      <pivotArea dataOnly="0" labelOnly="1" fieldPosition="0">
        <references count="1">
          <reference field="1" count="0"/>
        </references>
      </pivotArea>
    </format>
    <format dxfId="31">
      <pivotArea outline="0" collapsedLevelsAreSubtotals="1" fieldPosition="0"/>
    </format>
    <format dxfId="30">
      <pivotArea dataOnly="0" labelOnly="1" fieldPosition="0">
        <references count="1">
          <reference field="1" count="0"/>
        </references>
      </pivotArea>
    </format>
    <format dxfId="29">
      <pivotArea outline="0" collapsedLevelsAreSubtotals="1" fieldPosition="0"/>
    </format>
    <format dxfId="28">
      <pivotArea outline="0" fieldPosition="0">
        <references count="1">
          <reference field="4294967294" count="1" selected="0">
            <x v="1"/>
          </reference>
        </references>
      </pivotArea>
    </format>
    <format dxfId="27">
      <pivotArea outline="0" fieldPosition="0">
        <references count="1">
          <reference field="1" count="1" selected="0">
            <x v="1"/>
          </reference>
        </references>
      </pivotArea>
    </format>
    <format dxfId="26">
      <pivotArea dataOnly="0" labelOnly="1" outline="0" fieldPosition="0">
        <references count="1">
          <reference field="1" count="1">
            <x v="1"/>
          </reference>
        </references>
      </pivotArea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3000000}" name="Сводная таблица1" cacheId="0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8" indent="0" outline="1" outlineData="1" multipleFieldFilters="0">
  <location ref="A3:B25" firstHeaderRow="1" firstDataRow="1" firstDataCol="1"/>
  <pivotFields count="2">
    <pivotField axis="axisRow" allDrilled="1" subtotalTop="0" showAll="0" sortType="descending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22">
    <i>
      <x v="3"/>
    </i>
    <i>
      <x v="14"/>
    </i>
    <i>
      <x v="19"/>
    </i>
    <i>
      <x v="1"/>
    </i>
    <i>
      <x v="10"/>
    </i>
    <i>
      <x v="20"/>
    </i>
    <i>
      <x v="16"/>
    </i>
    <i>
      <x v="2"/>
    </i>
    <i>
      <x v="6"/>
    </i>
    <i>
      <x v="18"/>
    </i>
    <i>
      <x v="7"/>
    </i>
    <i>
      <x v="13"/>
    </i>
    <i>
      <x v="8"/>
    </i>
    <i>
      <x v="15"/>
    </i>
    <i>
      <x v="9"/>
    </i>
    <i>
      <x v="17"/>
    </i>
    <i>
      <x/>
    </i>
    <i>
      <x v="4"/>
    </i>
    <i>
      <x v="11"/>
    </i>
    <i>
      <x v="5"/>
    </i>
    <i>
      <x v="12"/>
    </i>
    <i t="grand">
      <x/>
    </i>
  </rowItems>
  <colItems count="1">
    <i/>
  </colItems>
  <dataFields count="1">
    <dataField name="Число элементов в столбце Имя" fld="1" subtotal="count" baseField="0" baseItem="0"/>
  </dataFields>
  <formats count="19">
    <format dxfId="19">
      <pivotArea dataOnly="0" labelOnly="1" fieldPosition="0">
        <references count="1">
          <reference field="0" count="1">
            <x v="16"/>
          </reference>
        </references>
      </pivotArea>
    </format>
    <format dxfId="18">
      <pivotArea dataOnly="0" labelOnly="1" fieldPosition="0">
        <references count="1">
          <reference field="0" count="1">
            <x v="6"/>
          </reference>
        </references>
      </pivotArea>
    </format>
    <format dxfId="17">
      <pivotArea dataOnly="0" labelOnly="1" fieldPosition="0">
        <references count="1">
          <reference field="0" count="1">
            <x v="4"/>
          </reference>
        </references>
      </pivotArea>
    </format>
    <format dxfId="16">
      <pivotArea dataOnly="0" labelOnly="1" fieldPosition="0">
        <references count="1">
          <reference field="0" count="1">
            <x v="12"/>
          </reference>
        </references>
      </pivotArea>
    </format>
    <format dxfId="15">
      <pivotArea dataOnly="0" labelOnly="1" fieldPosition="0">
        <references count="1">
          <reference field="0" count="1">
            <x v="3"/>
          </reference>
        </references>
      </pivotArea>
    </format>
    <format dxfId="14">
      <pivotArea dataOnly="0" labelOnly="1" fieldPosition="0">
        <references count="1">
          <reference field="0" count="1">
            <x v="20"/>
          </reference>
        </references>
      </pivotArea>
    </format>
    <format dxfId="13">
      <pivotArea dataOnly="0" labelOnly="1" fieldPosition="0">
        <references count="1">
          <reference field="0" count="1">
            <x v="18"/>
          </reference>
        </references>
      </pivotArea>
    </format>
    <format dxfId="12">
      <pivotArea dataOnly="0" labelOnly="1" fieldPosition="0">
        <references count="1">
          <reference field="0" count="1">
            <x v="9"/>
          </reference>
        </references>
      </pivotArea>
    </format>
    <format dxfId="11">
      <pivotArea dataOnly="0" labelOnly="1" fieldPosition="0">
        <references count="1">
          <reference field="0" count="1">
            <x v="0"/>
          </reference>
        </references>
      </pivotArea>
    </format>
    <format dxfId="10">
      <pivotArea dataOnly="0" labelOnly="1" fieldPosition="0">
        <references count="1">
          <reference field="0" count="1">
            <x v="5"/>
          </reference>
        </references>
      </pivotArea>
    </format>
    <format dxfId="9">
      <pivotArea dataOnly="0" labelOnly="1" fieldPosition="0">
        <references count="1">
          <reference field="0" count="1">
            <x v="16"/>
          </reference>
        </references>
      </pivotArea>
    </format>
    <format dxfId="8">
      <pivotArea dataOnly="0" labelOnly="1" fieldPosition="0">
        <references count="1">
          <reference field="0" count="1">
            <x v="6"/>
          </reference>
        </references>
      </pivotArea>
    </format>
    <format dxfId="7">
      <pivotArea dataOnly="0" labelOnly="1" fieldPosition="0">
        <references count="1">
          <reference field="0" count="1">
            <x v="4"/>
          </reference>
        </references>
      </pivotArea>
    </format>
    <format dxfId="6">
      <pivotArea dataOnly="0" labelOnly="1" fieldPosition="0">
        <references count="1">
          <reference field="0" count="1">
            <x v="12"/>
          </reference>
        </references>
      </pivotArea>
    </format>
    <format dxfId="5">
      <pivotArea dataOnly="0" labelOnly="1" fieldPosition="0">
        <references count="1">
          <reference field="0" count="1">
            <x v="11"/>
          </reference>
        </references>
      </pivotArea>
    </format>
    <format dxfId="4">
      <pivotArea dataOnly="0" labelOnly="1" fieldPosition="0">
        <references count="1">
          <reference field="0" count="4">
            <x v="1"/>
            <x v="10"/>
            <x v="14"/>
            <x v="19"/>
          </reference>
        </references>
      </pivotArea>
    </format>
    <format dxfId="3">
      <pivotArea dataOnly="0" labelOnly="1" fieldPosition="0">
        <references count="1">
          <reference field="0" count="1">
            <x v="2"/>
          </reference>
        </references>
      </pivotArea>
    </format>
    <format dxfId="2">
      <pivotArea dataOnly="0" labelOnly="1" fieldPosition="0">
        <references count="1">
          <reference field="0" count="4">
            <x v="7"/>
            <x v="8"/>
            <x v="13"/>
            <x v="15"/>
          </reference>
        </references>
      </pivotArea>
    </format>
    <format dxfId="1">
      <pivotArea dataOnly="0" labelOnly="1" fieldPosition="0">
        <references count="1">
          <reference field="0" count="1">
            <x v="17"/>
          </reference>
        </references>
      </pivotArea>
    </format>
  </formats>
  <pivotHierarchies count="2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Книга1!Список">
        <x15:activeTabTopLevelEntity name="[Список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4000000}" name="Сводная таблица2" cacheId="1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8" indent="0" outline="1" outlineData="1" multipleFieldFilters="0">
  <location ref="B2:C5" firstHeaderRow="1" firstDataRow="1" firstDataCol="1"/>
  <pivotFields count="2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Число элементов в столбце Пол" fld="1" subtotal="count" showDataAs="percentOfTotal" baseField="0" baseItem="0" numFmtId="9"/>
  </dataFields>
  <formats count="1">
    <format dxfId="0">
      <pivotArea outline="0" collapsedLevelsAreSubtotals="1" fieldPosition="0"/>
    </format>
  </formats>
  <pivotHierarchies count="2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Книга1!Список">
        <x15:activeTabTopLevelEntity name="[Список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Список" displayName="Список" ref="B4:R32" totalsRowCount="1" totalsRowBorderDxfId="25">
  <autoFilter ref="B4:R31" xr:uid="{00000000-0009-0000-0100-000001000000}"/>
  <sortState xmlns:xlrd2="http://schemas.microsoft.com/office/spreadsheetml/2017/richdata2" ref="B5:P31">
    <sortCondition ref="B4:B31"/>
  </sortState>
  <tableColumns count="17">
    <tableColumn id="1" xr3:uid="{00000000-0010-0000-0000-000001000000}" name="№" totalsRowLabel="ЛР1"/>
    <tableColumn id="2" xr3:uid="{00000000-0010-0000-0000-000002000000}" name="Фамилия, имя"/>
    <tableColumn id="3" xr3:uid="{00000000-0010-0000-0000-000003000000}" name="Имя"/>
    <tableColumn id="4" xr3:uid="{00000000-0010-0000-0000-000004000000}" name="Пол"/>
    <tableColumn id="9" xr3:uid="{00000000-0010-0000-0000-000009000000}" name="Вар. ЛР" totalsRowFunction="countNums"/>
    <tableColumn id="5" xr3:uid="{00000000-0010-0000-0000-000005000000}" name="08.сен" totalsRowDxfId="24"/>
    <tableColumn id="6" xr3:uid="{00000000-0010-0000-0000-000006000000}" name="22.сен" totalsRowFunction="countNums" totalsRowDxfId="23"/>
    <tableColumn id="7" xr3:uid="{00000000-0010-0000-0000-000007000000}" name="06.окт" totalsRowFunction="countNums"/>
    <tableColumn id="8" xr3:uid="{00000000-0010-0000-0000-000008000000}" name="20.окт" totalsRowFunction="custom" totalsRowDxfId="22">
      <totalsRowFormula>COUNTIF(Список[20.окт],1)</totalsRowFormula>
    </tableColumn>
    <tableColumn id="11" xr3:uid="{00000000-0010-0000-0000-00000B000000}" name="17.ноя" totalsRowFunction="custom">
      <totalsRowFormula>COUNTIF(Список[17.ноя],1)</totalsRowFormula>
    </tableColumn>
    <tableColumn id="12" xr3:uid="{00000000-0010-0000-0000-00000C000000}" name="01.дек" totalsRowFunction="custom">
      <totalsRowFormula>COUNTIF(Список[01.дек],1)</totalsRowFormula>
    </tableColumn>
    <tableColumn id="13" xr3:uid="{00000000-0010-0000-0000-00000D000000}" name="15.дек" totalsRowFunction="custom">
      <totalsRowFormula>COUNTIF(Список[15.дек],1)</totalsRowFormula>
    </tableColumn>
    <tableColumn id="14" xr3:uid="{00000000-0010-0000-0000-00000E000000}" name="22.дек" totalsRowFunction="custom">
      <totalsRowFormula>COUNTIF(Список[22.дек],1)</totalsRowFormula>
    </tableColumn>
    <tableColumn id="15" xr3:uid="{00000000-0010-0000-0000-00000F000000}" name="Встреч">
      <calculatedColumnFormula>COUNTA(Список[[#This Row],[08.сен]:[22.дек]])</calculatedColumnFormula>
    </tableColumn>
    <tableColumn id="16" xr3:uid="{00000000-0010-0000-0000-000010000000}" name="27.окт" totalsRowFunction="countNums"/>
    <tableColumn id="10" xr3:uid="{00000000-0010-0000-0000-00000A000000}" name="Баллы1" totalsRowDxfId="21"/>
    <tableColumn id="17" xr3:uid="{00000000-0010-0000-0000-000011000000}" name="Баллы2" totalsRowDxfId="20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15"/>
  <sheetViews>
    <sheetView showGridLines="0" showRowColHeaders="0" workbookViewId="0">
      <selection activeCell="D5" sqref="D5"/>
    </sheetView>
  </sheetViews>
  <sheetFormatPr defaultRowHeight="15" x14ac:dyDescent="0.25"/>
  <cols>
    <col min="4" max="4" width="10.42578125" customWidth="1"/>
    <col min="5" max="5" width="12.7109375" customWidth="1"/>
    <col min="6" max="6" width="10.7109375" customWidth="1"/>
  </cols>
  <sheetData>
    <row r="1" spans="2:6" ht="29.25" customHeight="1" x14ac:dyDescent="0.25">
      <c r="B1" s="30" t="s">
        <v>98</v>
      </c>
      <c r="C1" s="25"/>
      <c r="D1" s="25"/>
      <c r="E1" s="25"/>
      <c r="F1" s="25"/>
    </row>
    <row r="2" spans="2:6" x14ac:dyDescent="0.25">
      <c r="B2" t="s">
        <v>86</v>
      </c>
      <c r="D2">
        <v>26</v>
      </c>
    </row>
    <row r="4" spans="2:6" x14ac:dyDescent="0.25">
      <c r="B4" s="20"/>
      <c r="C4" s="26" t="s">
        <v>80</v>
      </c>
      <c r="D4" s="26" t="s">
        <v>81</v>
      </c>
      <c r="E4" s="26" t="s">
        <v>85</v>
      </c>
      <c r="F4" s="26" t="s">
        <v>82</v>
      </c>
    </row>
    <row r="5" spans="2:6" x14ac:dyDescent="0.25">
      <c r="B5" s="26" t="s">
        <v>83</v>
      </c>
      <c r="C5" s="22">
        <f>SUM(Список[[#Totals],[22.сен]:[22.дек]])</f>
        <v>22</v>
      </c>
      <c r="D5" s="22">
        <f>SUM(Список[[#Totals],[22.сен]:[06.окт]])</f>
        <v>14</v>
      </c>
      <c r="E5" s="27">
        <f>C5-D5</f>
        <v>8</v>
      </c>
      <c r="F5" s="22">
        <f>$D$2-C5</f>
        <v>4</v>
      </c>
    </row>
    <row r="6" spans="2:6" x14ac:dyDescent="0.25">
      <c r="B6" s="26" t="s">
        <v>84</v>
      </c>
      <c r="C6" s="22">
        <f>SUM(Список!J33:N33)</f>
        <v>12</v>
      </c>
      <c r="D6" s="22">
        <f>SUM(Список!J33:K33)</f>
        <v>12</v>
      </c>
      <c r="E6" s="27">
        <f>C6-D6</f>
        <v>0</v>
      </c>
      <c r="F6" s="22">
        <f>$D$2-C6</f>
        <v>14</v>
      </c>
    </row>
    <row r="7" spans="2:6" x14ac:dyDescent="0.25">
      <c r="B7" s="26" t="s">
        <v>87</v>
      </c>
      <c r="C7" s="22">
        <f>SUM(Список!K34:N34)</f>
        <v>2</v>
      </c>
      <c r="D7" s="22">
        <f>SUM(Список!K34:M34)</f>
        <v>2</v>
      </c>
      <c r="E7" s="27">
        <f>C7-D7</f>
        <v>0</v>
      </c>
      <c r="F7" s="22">
        <f>$D$2-C7</f>
        <v>24</v>
      </c>
    </row>
    <row r="8" spans="2:6" x14ac:dyDescent="0.25">
      <c r="B8" s="26" t="s">
        <v>88</v>
      </c>
      <c r="C8" s="22">
        <f>SUM(Список!K35:N35)</f>
        <v>0</v>
      </c>
      <c r="D8" s="22">
        <f>SUM(Список!K35:N35)</f>
        <v>0</v>
      </c>
      <c r="E8" s="27">
        <f>C8-D8</f>
        <v>0</v>
      </c>
      <c r="F8" s="22">
        <f>$D$2-C8</f>
        <v>26</v>
      </c>
    </row>
    <row r="10" spans="2:6" x14ac:dyDescent="0.25">
      <c r="B10" s="44" t="s">
        <v>70</v>
      </c>
      <c r="C10" s="45" t="s">
        <v>89</v>
      </c>
      <c r="D10" s="45" t="s">
        <v>90</v>
      </c>
    </row>
    <row r="11" spans="2:6" x14ac:dyDescent="0.25">
      <c r="C11">
        <f>Список[[#Totals],[27.окт]]</f>
        <v>16</v>
      </c>
      <c r="D11">
        <f>$D$2-C11</f>
        <v>10</v>
      </c>
    </row>
    <row r="12" spans="2:6" x14ac:dyDescent="0.25">
      <c r="B12" s="9">
        <v>5</v>
      </c>
      <c r="C12">
        <f>Список!P33</f>
        <v>6</v>
      </c>
    </row>
    <row r="13" spans="2:6" x14ac:dyDescent="0.25">
      <c r="B13" s="9">
        <v>4</v>
      </c>
      <c r="C13">
        <f>Список!P34</f>
        <v>8</v>
      </c>
    </row>
    <row r="14" spans="2:6" x14ac:dyDescent="0.25">
      <c r="B14" s="9">
        <v>3</v>
      </c>
      <c r="C14">
        <f>Список!P35</f>
        <v>2</v>
      </c>
    </row>
    <row r="15" spans="2:6" x14ac:dyDescent="0.25">
      <c r="B15" s="43" t="s">
        <v>91</v>
      </c>
      <c r="C15">
        <f>Список!P36</f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F30"/>
  <sheetViews>
    <sheetView showGridLines="0" workbookViewId="0">
      <selection activeCell="F33" sqref="F33"/>
    </sheetView>
  </sheetViews>
  <sheetFormatPr defaultRowHeight="15" x14ac:dyDescent="0.25"/>
  <cols>
    <col min="2" max="2" width="22" customWidth="1"/>
    <col min="3" max="3" width="8.85546875" customWidth="1"/>
    <col min="4" max="4" width="3.28515625" customWidth="1"/>
    <col min="5" max="5" width="3" hidden="1" customWidth="1"/>
    <col min="6" max="6" width="10.28515625" customWidth="1"/>
    <col min="9" max="9" width="13" customWidth="1"/>
    <col min="10" max="10" width="12.42578125" customWidth="1"/>
  </cols>
  <sheetData>
    <row r="1" spans="2:6" ht="22.5" customHeight="1" x14ac:dyDescent="0.35">
      <c r="B1" s="29" t="s">
        <v>97</v>
      </c>
    </row>
    <row r="2" spans="2:6" ht="21" customHeight="1" x14ac:dyDescent="0.25"/>
    <row r="3" spans="2:6" x14ac:dyDescent="0.25">
      <c r="B3" s="2" t="s">
        <v>52</v>
      </c>
      <c r="C3" s="46" t="s">
        <v>99</v>
      </c>
      <c r="D3" s="9" t="s">
        <v>70</v>
      </c>
      <c r="F3" s="39" t="s">
        <v>96</v>
      </c>
    </row>
    <row r="4" spans="2:6" x14ac:dyDescent="0.25">
      <c r="B4" s="35" t="s">
        <v>26</v>
      </c>
      <c r="C4" s="36">
        <v>45</v>
      </c>
      <c r="D4" s="36">
        <v>5</v>
      </c>
      <c r="F4" s="36">
        <f>INT((C4-D4*3)/15)</f>
        <v>2</v>
      </c>
    </row>
    <row r="5" spans="2:6" x14ac:dyDescent="0.25">
      <c r="B5" s="35" t="s">
        <v>20</v>
      </c>
      <c r="C5" s="36">
        <v>45</v>
      </c>
      <c r="D5" s="36">
        <v>5</v>
      </c>
      <c r="F5" s="36">
        <f t="shared" ref="F5:F30" si="0">INT((C5-D5*3)/15)</f>
        <v>2</v>
      </c>
    </row>
    <row r="6" spans="2:6" x14ac:dyDescent="0.25">
      <c r="B6" s="35" t="s">
        <v>11</v>
      </c>
      <c r="C6" s="36">
        <v>45</v>
      </c>
      <c r="D6" s="36">
        <v>5</v>
      </c>
      <c r="F6" s="36">
        <f t="shared" si="0"/>
        <v>2</v>
      </c>
    </row>
    <row r="7" spans="2:6" x14ac:dyDescent="0.25">
      <c r="B7" s="35" t="s">
        <v>7</v>
      </c>
      <c r="C7" s="36">
        <v>45</v>
      </c>
      <c r="D7" s="36">
        <v>5</v>
      </c>
      <c r="F7" s="36">
        <f t="shared" si="0"/>
        <v>2</v>
      </c>
    </row>
    <row r="8" spans="2:6" x14ac:dyDescent="0.25">
      <c r="B8" s="35" t="s">
        <v>9</v>
      </c>
      <c r="C8" s="36">
        <v>45</v>
      </c>
      <c r="D8" s="36">
        <v>5</v>
      </c>
      <c r="F8" s="36">
        <f t="shared" si="0"/>
        <v>2</v>
      </c>
    </row>
    <row r="9" spans="2:6" x14ac:dyDescent="0.25">
      <c r="B9" s="35" t="s">
        <v>18</v>
      </c>
      <c r="C9" s="36">
        <v>44</v>
      </c>
      <c r="D9" s="36">
        <v>4</v>
      </c>
      <c r="F9" s="36">
        <f t="shared" si="0"/>
        <v>2</v>
      </c>
    </row>
    <row r="10" spans="2:6" x14ac:dyDescent="0.25">
      <c r="B10" s="35" t="s">
        <v>10</v>
      </c>
      <c r="C10" s="36">
        <v>43</v>
      </c>
      <c r="D10" s="36">
        <v>4</v>
      </c>
      <c r="F10" s="36">
        <f t="shared" si="0"/>
        <v>2</v>
      </c>
    </row>
    <row r="11" spans="2:6" x14ac:dyDescent="0.25">
      <c r="B11" s="35" t="s">
        <v>13</v>
      </c>
      <c r="C11" s="36">
        <v>43</v>
      </c>
      <c r="D11" s="36">
        <v>4</v>
      </c>
      <c r="F11" s="36">
        <f t="shared" si="0"/>
        <v>2</v>
      </c>
    </row>
    <row r="12" spans="2:6" x14ac:dyDescent="0.25">
      <c r="B12" s="35" t="s">
        <v>19</v>
      </c>
      <c r="C12" s="36">
        <v>42</v>
      </c>
      <c r="D12" s="36">
        <v>4</v>
      </c>
      <c r="F12" s="36">
        <f t="shared" si="0"/>
        <v>2</v>
      </c>
    </row>
    <row r="13" spans="2:6" x14ac:dyDescent="0.25">
      <c r="B13" s="35" t="s">
        <v>8</v>
      </c>
      <c r="C13" s="36">
        <v>39</v>
      </c>
      <c r="D13" s="36">
        <v>3</v>
      </c>
      <c r="F13" s="36">
        <f t="shared" si="0"/>
        <v>2</v>
      </c>
    </row>
    <row r="14" spans="2:6" x14ac:dyDescent="0.25">
      <c r="B14" s="37" t="s">
        <v>27</v>
      </c>
      <c r="C14" s="38">
        <v>32</v>
      </c>
      <c r="D14" s="38">
        <v>4</v>
      </c>
      <c r="F14" s="38">
        <f t="shared" si="0"/>
        <v>1</v>
      </c>
    </row>
    <row r="15" spans="2:6" x14ac:dyDescent="0.25">
      <c r="B15" s="48" t="s">
        <v>25</v>
      </c>
      <c r="C15" s="38">
        <v>30</v>
      </c>
      <c r="D15" s="38"/>
      <c r="F15" s="38">
        <f t="shared" si="0"/>
        <v>2</v>
      </c>
    </row>
    <row r="16" spans="2:6" x14ac:dyDescent="0.25">
      <c r="B16" s="37" t="s">
        <v>22</v>
      </c>
      <c r="C16" s="38">
        <v>30</v>
      </c>
      <c r="D16" s="38">
        <v>5</v>
      </c>
      <c r="F16" s="38">
        <f t="shared" si="0"/>
        <v>1</v>
      </c>
    </row>
    <row r="17" spans="2:6" x14ac:dyDescent="0.25">
      <c r="B17" s="48" t="s">
        <v>17</v>
      </c>
      <c r="C17" s="38">
        <v>30</v>
      </c>
      <c r="D17" s="38"/>
      <c r="F17" s="38">
        <f t="shared" si="0"/>
        <v>2</v>
      </c>
    </row>
    <row r="18" spans="2:6" x14ac:dyDescent="0.25">
      <c r="B18" s="37" t="s">
        <v>4</v>
      </c>
      <c r="C18" s="38">
        <v>29</v>
      </c>
      <c r="D18" s="38">
        <v>3</v>
      </c>
      <c r="F18" s="38">
        <f t="shared" si="0"/>
        <v>1</v>
      </c>
    </row>
    <row r="19" spans="2:6" x14ac:dyDescent="0.25">
      <c r="B19" s="37" t="s">
        <v>23</v>
      </c>
      <c r="C19" s="38">
        <v>27</v>
      </c>
      <c r="D19" s="38">
        <v>4</v>
      </c>
      <c r="F19" s="38">
        <f t="shared" si="0"/>
        <v>1</v>
      </c>
    </row>
    <row r="20" spans="2:6" x14ac:dyDescent="0.25">
      <c r="B20" s="37" t="s">
        <v>6</v>
      </c>
      <c r="C20" s="38">
        <v>27</v>
      </c>
      <c r="D20" s="38">
        <v>4</v>
      </c>
      <c r="F20" s="38">
        <f t="shared" si="0"/>
        <v>1</v>
      </c>
    </row>
    <row r="21" spans="2:6" x14ac:dyDescent="0.25">
      <c r="B21" s="47" t="s">
        <v>12</v>
      </c>
      <c r="C21" s="38">
        <v>24</v>
      </c>
      <c r="D21" s="38">
        <v>4</v>
      </c>
      <c r="F21" s="38">
        <f t="shared" si="0"/>
        <v>0</v>
      </c>
    </row>
    <row r="22" spans="2:6" x14ac:dyDescent="0.25">
      <c r="B22" s="51" t="s">
        <v>21</v>
      </c>
      <c r="C22" s="12">
        <v>15</v>
      </c>
      <c r="D22" s="12"/>
      <c r="F22" s="12">
        <f t="shared" si="0"/>
        <v>1</v>
      </c>
    </row>
    <row r="23" spans="2:6" x14ac:dyDescent="0.25">
      <c r="B23" s="51" t="s">
        <v>5</v>
      </c>
      <c r="C23" s="12">
        <v>15</v>
      </c>
      <c r="D23" s="12"/>
      <c r="F23" s="12">
        <f t="shared" si="0"/>
        <v>1</v>
      </c>
    </row>
    <row r="24" spans="2:6" x14ac:dyDescent="0.25">
      <c r="B24" s="51" t="s">
        <v>16</v>
      </c>
      <c r="C24" s="12">
        <v>15</v>
      </c>
      <c r="D24" s="12"/>
      <c r="F24" s="12">
        <f t="shared" si="0"/>
        <v>1</v>
      </c>
    </row>
    <row r="25" spans="2:6" x14ac:dyDescent="0.25">
      <c r="B25" s="51" t="s">
        <v>15</v>
      </c>
      <c r="C25" s="12">
        <v>15</v>
      </c>
      <c r="D25" s="12"/>
      <c r="F25" s="12">
        <f t="shared" si="0"/>
        <v>1</v>
      </c>
    </row>
    <row r="26" spans="2:6" x14ac:dyDescent="0.25">
      <c r="B26" s="51" t="s">
        <v>14</v>
      </c>
      <c r="C26" s="12">
        <v>15</v>
      </c>
      <c r="D26" s="12"/>
      <c r="F26" s="12">
        <f t="shared" si="0"/>
        <v>1</v>
      </c>
    </row>
    <row r="27" spans="2:6" x14ac:dyDescent="0.25">
      <c r="B27" s="49" t="s">
        <v>24</v>
      </c>
      <c r="C27" s="34">
        <v>7</v>
      </c>
      <c r="D27" s="34"/>
      <c r="F27" s="34">
        <f t="shared" si="0"/>
        <v>0</v>
      </c>
    </row>
    <row r="28" spans="2:6" x14ac:dyDescent="0.25">
      <c r="B28" s="49" t="s">
        <v>0</v>
      </c>
      <c r="C28" s="34">
        <v>4</v>
      </c>
      <c r="D28" s="34"/>
      <c r="F28" s="34">
        <f t="shared" si="0"/>
        <v>0</v>
      </c>
    </row>
    <row r="29" spans="2:6" x14ac:dyDescent="0.25">
      <c r="B29" s="50" t="s">
        <v>75</v>
      </c>
      <c r="C29" s="33">
        <v>0</v>
      </c>
      <c r="D29" s="33"/>
      <c r="F29" s="33">
        <f t="shared" si="0"/>
        <v>0</v>
      </c>
    </row>
    <row r="30" spans="2:6" x14ac:dyDescent="0.25">
      <c r="B30" s="40" t="s">
        <v>1</v>
      </c>
      <c r="C30" s="41"/>
      <c r="D30" s="41"/>
      <c r="E30" s="42"/>
      <c r="F30" s="41">
        <f t="shared" si="0"/>
        <v>0</v>
      </c>
    </row>
  </sheetData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G30"/>
  <sheetViews>
    <sheetView showGridLines="0" workbookViewId="0">
      <selection activeCell="I33" sqref="I33"/>
    </sheetView>
  </sheetViews>
  <sheetFormatPr defaultRowHeight="15" x14ac:dyDescent="0.25"/>
  <cols>
    <col min="2" max="2" width="8.140625" customWidth="1"/>
    <col min="3" max="3" width="22" bestFit="1" customWidth="1"/>
    <col min="4" max="4" width="8.85546875" bestFit="1" customWidth="1"/>
    <col min="5" max="5" width="3.28515625" customWidth="1"/>
    <col min="6" max="6" width="3.7109375" hidden="1" customWidth="1"/>
  </cols>
  <sheetData>
    <row r="1" spans="2:7" ht="22.5" customHeight="1" x14ac:dyDescent="0.25"/>
    <row r="3" spans="2:7" x14ac:dyDescent="0.25">
      <c r="B3" s="2" t="s">
        <v>100</v>
      </c>
      <c r="C3" s="2" t="s">
        <v>2</v>
      </c>
      <c r="D3" s="46" t="s">
        <v>99</v>
      </c>
      <c r="E3" s="9" t="s">
        <v>70</v>
      </c>
      <c r="F3" s="9"/>
      <c r="G3" s="39" t="s">
        <v>96</v>
      </c>
    </row>
    <row r="4" spans="2:7" x14ac:dyDescent="0.25">
      <c r="B4" s="20">
        <v>1</v>
      </c>
      <c r="C4" s="54" t="s">
        <v>27</v>
      </c>
      <c r="D4" s="54">
        <v>32</v>
      </c>
      <c r="E4" s="56">
        <v>4</v>
      </c>
      <c r="F4" s="54"/>
      <c r="G4" s="56">
        <f>INT((D4-E4*3)/15)</f>
        <v>1</v>
      </c>
    </row>
    <row r="5" spans="2:7" x14ac:dyDescent="0.25">
      <c r="B5" s="20"/>
      <c r="C5" s="54" t="s">
        <v>4</v>
      </c>
      <c r="D5" s="54">
        <v>29</v>
      </c>
      <c r="E5" s="56">
        <v>3</v>
      </c>
      <c r="F5" s="54"/>
      <c r="G5" s="56">
        <f t="shared" ref="G5:G30" si="0">INT((D5-E5*3)/15)</f>
        <v>1</v>
      </c>
    </row>
    <row r="6" spans="2:7" x14ac:dyDescent="0.25">
      <c r="B6" s="20">
        <v>2</v>
      </c>
      <c r="C6" s="54" t="s">
        <v>22</v>
      </c>
      <c r="D6" s="54">
        <v>30</v>
      </c>
      <c r="E6" s="56">
        <v>5</v>
      </c>
      <c r="F6" s="54"/>
      <c r="G6" s="56">
        <f t="shared" si="0"/>
        <v>1</v>
      </c>
    </row>
    <row r="7" spans="2:7" x14ac:dyDescent="0.25">
      <c r="B7" s="20"/>
      <c r="C7" s="54" t="s">
        <v>6</v>
      </c>
      <c r="D7" s="54">
        <v>27</v>
      </c>
      <c r="E7" s="56">
        <v>4</v>
      </c>
      <c r="F7" s="54"/>
      <c r="G7" s="56">
        <f t="shared" si="0"/>
        <v>1</v>
      </c>
    </row>
    <row r="8" spans="2:7" x14ac:dyDescent="0.25">
      <c r="B8" s="20">
        <v>3</v>
      </c>
      <c r="C8" s="54" t="s">
        <v>26</v>
      </c>
      <c r="D8" s="54">
        <v>45</v>
      </c>
      <c r="E8" s="56">
        <v>5</v>
      </c>
      <c r="F8" s="54"/>
      <c r="G8" s="56">
        <f t="shared" si="0"/>
        <v>2</v>
      </c>
    </row>
    <row r="9" spans="2:7" x14ac:dyDescent="0.25">
      <c r="B9" s="20"/>
      <c r="C9" s="54" t="s">
        <v>7</v>
      </c>
      <c r="D9" s="54">
        <v>45</v>
      </c>
      <c r="E9" s="56">
        <v>5</v>
      </c>
      <c r="F9" s="54"/>
      <c r="G9" s="56">
        <f t="shared" si="0"/>
        <v>2</v>
      </c>
    </row>
    <row r="10" spans="2:7" x14ac:dyDescent="0.25">
      <c r="B10" s="20">
        <v>4</v>
      </c>
      <c r="C10" s="54" t="s">
        <v>19</v>
      </c>
      <c r="D10" s="54">
        <v>42</v>
      </c>
      <c r="E10" s="56">
        <v>4</v>
      </c>
      <c r="F10" s="54"/>
      <c r="G10" s="56">
        <f t="shared" si="0"/>
        <v>2</v>
      </c>
    </row>
    <row r="11" spans="2:7" x14ac:dyDescent="0.25">
      <c r="B11" s="20"/>
      <c r="C11" s="54" t="s">
        <v>8</v>
      </c>
      <c r="D11" s="54">
        <v>39</v>
      </c>
      <c r="E11" s="56">
        <v>3</v>
      </c>
      <c r="F11" s="54"/>
      <c r="G11" s="56">
        <f t="shared" si="0"/>
        <v>2</v>
      </c>
    </row>
    <row r="12" spans="2:7" x14ac:dyDescent="0.25">
      <c r="B12" s="20">
        <v>6</v>
      </c>
      <c r="C12" s="54" t="s">
        <v>13</v>
      </c>
      <c r="D12" s="54">
        <v>43</v>
      </c>
      <c r="E12" s="56">
        <v>4</v>
      </c>
      <c r="F12" s="54"/>
      <c r="G12" s="56">
        <f t="shared" si="0"/>
        <v>2</v>
      </c>
    </row>
    <row r="13" spans="2:7" x14ac:dyDescent="0.25">
      <c r="B13" s="20"/>
      <c r="C13" s="54" t="s">
        <v>10</v>
      </c>
      <c r="D13" s="54">
        <v>43</v>
      </c>
      <c r="E13" s="56">
        <v>4</v>
      </c>
      <c r="F13" s="54"/>
      <c r="G13" s="56">
        <f t="shared" si="0"/>
        <v>2</v>
      </c>
    </row>
    <row r="14" spans="2:7" x14ac:dyDescent="0.25">
      <c r="B14" s="20">
        <v>7</v>
      </c>
      <c r="C14" s="55" t="s">
        <v>12</v>
      </c>
      <c r="D14" s="54">
        <v>24</v>
      </c>
      <c r="E14" s="56">
        <v>4</v>
      </c>
      <c r="F14" s="54"/>
      <c r="G14" s="56">
        <f t="shared" si="0"/>
        <v>0</v>
      </c>
    </row>
    <row r="15" spans="2:7" x14ac:dyDescent="0.25">
      <c r="B15" s="20"/>
      <c r="C15" s="54" t="s">
        <v>24</v>
      </c>
      <c r="D15" s="54">
        <v>7</v>
      </c>
      <c r="E15" s="56"/>
      <c r="F15" s="54"/>
      <c r="G15" s="56">
        <f t="shared" si="0"/>
        <v>0</v>
      </c>
    </row>
    <row r="16" spans="2:7" x14ac:dyDescent="0.25">
      <c r="B16" s="20">
        <v>8</v>
      </c>
      <c r="C16" s="54" t="s">
        <v>16</v>
      </c>
      <c r="D16" s="54">
        <v>15</v>
      </c>
      <c r="E16" s="56"/>
      <c r="F16" s="54"/>
      <c r="G16" s="56">
        <f t="shared" si="0"/>
        <v>1</v>
      </c>
    </row>
    <row r="17" spans="2:7" x14ac:dyDescent="0.25">
      <c r="B17" s="20"/>
      <c r="C17" s="54" t="s">
        <v>15</v>
      </c>
      <c r="D17" s="54">
        <v>15</v>
      </c>
      <c r="E17" s="56"/>
      <c r="F17" s="54"/>
      <c r="G17" s="56">
        <f t="shared" si="0"/>
        <v>1</v>
      </c>
    </row>
    <row r="18" spans="2:7" x14ac:dyDescent="0.25">
      <c r="B18" s="20">
        <v>9</v>
      </c>
      <c r="C18" s="54" t="s">
        <v>20</v>
      </c>
      <c r="D18" s="54">
        <v>45</v>
      </c>
      <c r="E18" s="56">
        <v>5</v>
      </c>
      <c r="F18" s="54"/>
      <c r="G18" s="56">
        <f t="shared" si="0"/>
        <v>2</v>
      </c>
    </row>
    <row r="19" spans="2:7" x14ac:dyDescent="0.25">
      <c r="B19" s="20"/>
      <c r="C19" s="54" t="s">
        <v>17</v>
      </c>
      <c r="D19" s="54">
        <v>30</v>
      </c>
      <c r="E19" s="56"/>
      <c r="F19" s="54"/>
      <c r="G19" s="56">
        <f t="shared" si="0"/>
        <v>2</v>
      </c>
    </row>
    <row r="20" spans="2:7" x14ac:dyDescent="0.25">
      <c r="B20" s="20">
        <v>11</v>
      </c>
      <c r="C20" s="54" t="s">
        <v>0</v>
      </c>
      <c r="D20" s="54">
        <v>4</v>
      </c>
      <c r="E20" s="56"/>
      <c r="F20" s="54"/>
      <c r="G20" s="56">
        <f t="shared" si="0"/>
        <v>0</v>
      </c>
    </row>
    <row r="21" spans="2:7" x14ac:dyDescent="0.25">
      <c r="B21" s="20"/>
      <c r="C21" s="54" t="s">
        <v>1</v>
      </c>
      <c r="D21" s="54"/>
      <c r="E21" s="56"/>
      <c r="F21" s="54"/>
      <c r="G21" s="56">
        <f t="shared" si="0"/>
        <v>0</v>
      </c>
    </row>
    <row r="22" spans="2:7" x14ac:dyDescent="0.25">
      <c r="B22" s="20">
        <v>15</v>
      </c>
      <c r="C22" s="54" t="s">
        <v>9</v>
      </c>
      <c r="D22" s="54">
        <v>45</v>
      </c>
      <c r="E22" s="56">
        <v>5</v>
      </c>
      <c r="F22" s="54"/>
      <c r="G22" s="56">
        <f t="shared" si="0"/>
        <v>2</v>
      </c>
    </row>
    <row r="23" spans="2:7" x14ac:dyDescent="0.25">
      <c r="B23" s="20"/>
      <c r="C23" s="54" t="s">
        <v>25</v>
      </c>
      <c r="D23" s="54">
        <v>30</v>
      </c>
      <c r="E23" s="56"/>
      <c r="F23" s="54"/>
      <c r="G23" s="56">
        <f t="shared" si="0"/>
        <v>2</v>
      </c>
    </row>
    <row r="24" spans="2:7" x14ac:dyDescent="0.25">
      <c r="B24" s="20">
        <v>17</v>
      </c>
      <c r="C24" s="54" t="s">
        <v>18</v>
      </c>
      <c r="D24" s="54">
        <v>44</v>
      </c>
      <c r="E24" s="56">
        <v>4</v>
      </c>
      <c r="F24" s="54"/>
      <c r="G24" s="56">
        <f t="shared" si="0"/>
        <v>2</v>
      </c>
    </row>
    <row r="25" spans="2:7" x14ac:dyDescent="0.25">
      <c r="B25" s="20">
        <v>18</v>
      </c>
      <c r="C25" s="54" t="s">
        <v>14</v>
      </c>
      <c r="D25" s="54">
        <v>15</v>
      </c>
      <c r="E25" s="56"/>
      <c r="F25" s="54"/>
      <c r="G25" s="56">
        <f t="shared" si="0"/>
        <v>1</v>
      </c>
    </row>
    <row r="26" spans="2:7" x14ac:dyDescent="0.25">
      <c r="B26" s="20"/>
      <c r="C26" s="54" t="s">
        <v>5</v>
      </c>
      <c r="D26" s="54">
        <v>15</v>
      </c>
      <c r="E26" s="56"/>
      <c r="F26" s="54"/>
      <c r="G26" s="56">
        <f t="shared" si="0"/>
        <v>1</v>
      </c>
    </row>
    <row r="27" spans="2:7" x14ac:dyDescent="0.25">
      <c r="B27" s="20">
        <v>21</v>
      </c>
      <c r="C27" s="54" t="s">
        <v>23</v>
      </c>
      <c r="D27" s="54">
        <v>27</v>
      </c>
      <c r="E27" s="56">
        <v>4</v>
      </c>
      <c r="F27" s="54"/>
      <c r="G27" s="56">
        <f t="shared" si="0"/>
        <v>1</v>
      </c>
    </row>
    <row r="28" spans="2:7" x14ac:dyDescent="0.25">
      <c r="B28" s="20"/>
      <c r="C28" s="54" t="s">
        <v>21</v>
      </c>
      <c r="D28" s="54">
        <v>15</v>
      </c>
      <c r="E28" s="56"/>
      <c r="F28" s="54"/>
      <c r="G28" s="56">
        <f t="shared" si="0"/>
        <v>1</v>
      </c>
    </row>
    <row r="29" spans="2:7" x14ac:dyDescent="0.25">
      <c r="B29" s="20" t="s">
        <v>76</v>
      </c>
      <c r="C29" s="54" t="s">
        <v>11</v>
      </c>
      <c r="D29" s="54">
        <v>45</v>
      </c>
      <c r="E29" s="56">
        <v>5</v>
      </c>
      <c r="F29" s="54"/>
      <c r="G29" s="56">
        <f t="shared" si="0"/>
        <v>2</v>
      </c>
    </row>
    <row r="30" spans="2:7" x14ac:dyDescent="0.25">
      <c r="B30" s="20" t="s">
        <v>93</v>
      </c>
      <c r="C30" s="54" t="s">
        <v>75</v>
      </c>
      <c r="D30" s="54">
        <v>0</v>
      </c>
      <c r="E30" s="56"/>
      <c r="F30" s="54"/>
      <c r="G30" s="56">
        <f t="shared" si="0"/>
        <v>0</v>
      </c>
    </row>
  </sheetData>
  <conditionalFormatting pivot="1" sqref="D4:D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B1:F30"/>
  <sheetViews>
    <sheetView workbookViewId="0">
      <selection activeCell="B1" sqref="B1"/>
    </sheetView>
  </sheetViews>
  <sheetFormatPr defaultRowHeight="15" x14ac:dyDescent="0.25"/>
  <cols>
    <col min="2" max="2" width="22" bestFit="1" customWidth="1"/>
    <col min="3" max="3" width="8.85546875" customWidth="1"/>
    <col min="4" max="4" width="3.28515625" customWidth="1"/>
    <col min="5" max="5" width="11.7109375" customWidth="1"/>
    <col min="6" max="6" width="13.85546875" customWidth="1"/>
  </cols>
  <sheetData>
    <row r="1" spans="2:6" ht="24" customHeight="1" x14ac:dyDescent="0.25"/>
    <row r="2" spans="2:6" ht="9.75" customHeight="1" x14ac:dyDescent="0.25"/>
    <row r="3" spans="2:6" x14ac:dyDescent="0.25">
      <c r="B3" s="2" t="s">
        <v>2</v>
      </c>
      <c r="C3" s="46" t="s">
        <v>99</v>
      </c>
      <c r="D3" s="9" t="s">
        <v>70</v>
      </c>
      <c r="E3" s="39" t="s">
        <v>96</v>
      </c>
      <c r="F3" s="39" t="s">
        <v>101</v>
      </c>
    </row>
    <row r="4" spans="2:6" hidden="1" x14ac:dyDescent="0.25">
      <c r="B4" s="52" t="s">
        <v>26</v>
      </c>
      <c r="C4" s="54">
        <v>45</v>
      </c>
      <c r="D4" s="56">
        <v>5</v>
      </c>
      <c r="E4" s="56">
        <f>INT((C4-D4*3)/15)</f>
        <v>2</v>
      </c>
    </row>
    <row r="5" spans="2:6" hidden="1" x14ac:dyDescent="0.25">
      <c r="B5" s="52" t="s">
        <v>20</v>
      </c>
      <c r="C5" s="54">
        <v>45</v>
      </c>
      <c r="D5" s="56">
        <v>5</v>
      </c>
      <c r="E5" s="56">
        <f t="shared" ref="E5:E30" si="0">INT((C5-D5*3)/15)</f>
        <v>2</v>
      </c>
    </row>
    <row r="6" spans="2:6" hidden="1" x14ac:dyDescent="0.25">
      <c r="B6" s="52" t="s">
        <v>11</v>
      </c>
      <c r="C6" s="54">
        <v>45</v>
      </c>
      <c r="D6" s="56">
        <v>5</v>
      </c>
      <c r="E6" s="56">
        <f t="shared" si="0"/>
        <v>2</v>
      </c>
    </row>
    <row r="7" spans="2:6" hidden="1" x14ac:dyDescent="0.25">
      <c r="B7" s="52" t="s">
        <v>7</v>
      </c>
      <c r="C7" s="54">
        <v>45</v>
      </c>
      <c r="D7" s="56">
        <v>5</v>
      </c>
      <c r="E7" s="56">
        <f t="shared" si="0"/>
        <v>2</v>
      </c>
    </row>
    <row r="8" spans="2:6" hidden="1" x14ac:dyDescent="0.25">
      <c r="B8" s="52" t="s">
        <v>9</v>
      </c>
      <c r="C8" s="54">
        <v>45</v>
      </c>
      <c r="D8" s="56">
        <v>5</v>
      </c>
      <c r="E8" s="56">
        <f t="shared" si="0"/>
        <v>2</v>
      </c>
    </row>
    <row r="9" spans="2:6" hidden="1" x14ac:dyDescent="0.25">
      <c r="B9" s="52" t="s">
        <v>18</v>
      </c>
      <c r="C9" s="54">
        <v>44</v>
      </c>
      <c r="D9" s="56">
        <v>4</v>
      </c>
      <c r="E9" s="56">
        <f t="shared" si="0"/>
        <v>2</v>
      </c>
    </row>
    <row r="10" spans="2:6" hidden="1" x14ac:dyDescent="0.25">
      <c r="B10" s="52" t="s">
        <v>10</v>
      </c>
      <c r="C10" s="54">
        <v>43</v>
      </c>
      <c r="D10" s="56">
        <v>4</v>
      </c>
      <c r="E10" s="56">
        <f t="shared" si="0"/>
        <v>2</v>
      </c>
    </row>
    <row r="11" spans="2:6" hidden="1" x14ac:dyDescent="0.25">
      <c r="B11" s="52" t="s">
        <v>13</v>
      </c>
      <c r="C11" s="54">
        <v>43</v>
      </c>
      <c r="D11" s="56">
        <v>4</v>
      </c>
      <c r="E11" s="56">
        <f t="shared" si="0"/>
        <v>2</v>
      </c>
    </row>
    <row r="12" spans="2:6" hidden="1" x14ac:dyDescent="0.25">
      <c r="B12" s="52" t="s">
        <v>19</v>
      </c>
      <c r="C12" s="54">
        <v>42</v>
      </c>
      <c r="D12" s="56">
        <v>4</v>
      </c>
      <c r="E12" s="56">
        <f t="shared" si="0"/>
        <v>2</v>
      </c>
    </row>
    <row r="13" spans="2:6" hidden="1" x14ac:dyDescent="0.25">
      <c r="B13" s="52" t="s">
        <v>8</v>
      </c>
      <c r="C13" s="54">
        <v>39</v>
      </c>
      <c r="D13" s="56">
        <v>3</v>
      </c>
      <c r="E13" s="56">
        <f t="shared" si="0"/>
        <v>2</v>
      </c>
    </row>
    <row r="14" spans="2:6" x14ac:dyDescent="0.25">
      <c r="B14" s="52" t="s">
        <v>27</v>
      </c>
      <c r="C14" s="54">
        <v>32</v>
      </c>
      <c r="D14" s="56">
        <v>4</v>
      </c>
      <c r="E14" s="56">
        <f t="shared" si="0"/>
        <v>1</v>
      </c>
      <c r="F14" t="s">
        <v>84</v>
      </c>
    </row>
    <row r="15" spans="2:6" x14ac:dyDescent="0.25">
      <c r="B15" s="52" t="s">
        <v>25</v>
      </c>
      <c r="C15" s="54">
        <v>30</v>
      </c>
      <c r="D15" s="56"/>
      <c r="E15" s="56">
        <f t="shared" si="0"/>
        <v>2</v>
      </c>
      <c r="F15" t="s">
        <v>70</v>
      </c>
    </row>
    <row r="16" spans="2:6" x14ac:dyDescent="0.25">
      <c r="B16" s="52" t="s">
        <v>22</v>
      </c>
      <c r="C16" s="54">
        <v>30</v>
      </c>
      <c r="D16" s="56">
        <v>5</v>
      </c>
      <c r="E16" s="56">
        <f t="shared" si="0"/>
        <v>1</v>
      </c>
      <c r="F16" t="s">
        <v>84</v>
      </c>
    </row>
    <row r="17" spans="2:6" hidden="1" x14ac:dyDescent="0.25">
      <c r="B17" s="52" t="s">
        <v>17</v>
      </c>
      <c r="C17" s="54">
        <v>30</v>
      </c>
      <c r="D17" s="56"/>
      <c r="E17" s="56">
        <f t="shared" si="0"/>
        <v>2</v>
      </c>
    </row>
    <row r="18" spans="2:6" hidden="1" x14ac:dyDescent="0.25">
      <c r="B18" s="52" t="s">
        <v>4</v>
      </c>
      <c r="C18" s="54">
        <v>29</v>
      </c>
      <c r="D18" s="56">
        <v>3</v>
      </c>
      <c r="E18" s="56">
        <f t="shared" si="0"/>
        <v>1</v>
      </c>
    </row>
    <row r="19" spans="2:6" x14ac:dyDescent="0.25">
      <c r="B19" s="52" t="s">
        <v>23</v>
      </c>
      <c r="C19" s="54">
        <v>27</v>
      </c>
      <c r="D19" s="56">
        <v>4</v>
      </c>
      <c r="E19" s="56">
        <f t="shared" si="0"/>
        <v>1</v>
      </c>
      <c r="F19" t="s">
        <v>84</v>
      </c>
    </row>
    <row r="20" spans="2:6" x14ac:dyDescent="0.25">
      <c r="B20" s="52" t="s">
        <v>6</v>
      </c>
      <c r="C20" s="54">
        <v>27</v>
      </c>
      <c r="D20" s="56">
        <v>4</v>
      </c>
      <c r="E20" s="56">
        <f t="shared" si="0"/>
        <v>1</v>
      </c>
      <c r="F20" t="s">
        <v>84</v>
      </c>
    </row>
    <row r="21" spans="2:6" x14ac:dyDescent="0.25">
      <c r="B21" s="53" t="s">
        <v>12</v>
      </c>
      <c r="C21" s="54">
        <v>24</v>
      </c>
      <c r="D21" s="56">
        <v>4</v>
      </c>
      <c r="E21" s="56">
        <f t="shared" si="0"/>
        <v>0</v>
      </c>
      <c r="F21" t="s">
        <v>103</v>
      </c>
    </row>
    <row r="22" spans="2:6" x14ac:dyDescent="0.25">
      <c r="B22" s="52" t="s">
        <v>21</v>
      </c>
      <c r="C22" s="54">
        <v>15</v>
      </c>
      <c r="D22" s="56"/>
      <c r="E22" s="56">
        <f t="shared" si="0"/>
        <v>1</v>
      </c>
      <c r="F22" t="s">
        <v>102</v>
      </c>
    </row>
    <row r="23" spans="2:6" x14ac:dyDescent="0.25">
      <c r="B23" s="52" t="s">
        <v>5</v>
      </c>
      <c r="C23" s="54">
        <v>15</v>
      </c>
      <c r="D23" s="56"/>
      <c r="E23" s="56">
        <f t="shared" si="0"/>
        <v>1</v>
      </c>
      <c r="F23" t="s">
        <v>102</v>
      </c>
    </row>
    <row r="24" spans="2:6" x14ac:dyDescent="0.25">
      <c r="B24" s="52" t="s">
        <v>16</v>
      </c>
      <c r="C24" s="54">
        <v>15</v>
      </c>
      <c r="D24" s="56"/>
      <c r="E24" s="56">
        <f t="shared" si="0"/>
        <v>1</v>
      </c>
      <c r="F24" t="s">
        <v>102</v>
      </c>
    </row>
    <row r="25" spans="2:6" x14ac:dyDescent="0.25">
      <c r="B25" s="52" t="s">
        <v>15</v>
      </c>
      <c r="C25" s="54">
        <v>15</v>
      </c>
      <c r="D25" s="56"/>
      <c r="E25" s="56">
        <f t="shared" si="0"/>
        <v>1</v>
      </c>
      <c r="F25" t="s">
        <v>102</v>
      </c>
    </row>
    <row r="26" spans="2:6" x14ac:dyDescent="0.25">
      <c r="B26" s="52" t="s">
        <v>14</v>
      </c>
      <c r="C26" s="54">
        <v>15</v>
      </c>
      <c r="D26" s="56"/>
      <c r="E26" s="56">
        <f t="shared" si="0"/>
        <v>1</v>
      </c>
      <c r="F26" t="s">
        <v>102</v>
      </c>
    </row>
    <row r="27" spans="2:6" x14ac:dyDescent="0.25">
      <c r="B27" s="52" t="s">
        <v>24</v>
      </c>
      <c r="C27" s="54">
        <v>7</v>
      </c>
      <c r="D27" s="56"/>
      <c r="E27" s="56">
        <f t="shared" si="0"/>
        <v>0</v>
      </c>
      <c r="F27" t="s">
        <v>104</v>
      </c>
    </row>
    <row r="28" spans="2:6" x14ac:dyDescent="0.25">
      <c r="B28" s="52" t="s">
        <v>0</v>
      </c>
      <c r="C28" s="54">
        <v>4</v>
      </c>
      <c r="D28" s="56"/>
      <c r="E28" s="56">
        <f t="shared" si="0"/>
        <v>0</v>
      </c>
      <c r="F28" t="s">
        <v>104</v>
      </c>
    </row>
    <row r="29" spans="2:6" x14ac:dyDescent="0.25">
      <c r="B29" s="52" t="s">
        <v>75</v>
      </c>
      <c r="C29" s="54">
        <v>0</v>
      </c>
      <c r="D29" s="56"/>
      <c r="E29" s="56">
        <f t="shared" si="0"/>
        <v>0</v>
      </c>
      <c r="F29" t="s">
        <v>104</v>
      </c>
    </row>
    <row r="30" spans="2:6" x14ac:dyDescent="0.25">
      <c r="B30" s="57" t="s">
        <v>1</v>
      </c>
      <c r="C30" s="58"/>
      <c r="D30" s="59"/>
      <c r="E30" s="59">
        <f t="shared" si="0"/>
        <v>0</v>
      </c>
    </row>
  </sheetData>
  <autoFilter ref="E3:E30" xr:uid="{00000000-0009-0000-0000-000003000000}">
    <filterColumn colId="0">
      <filters>
        <filter val="0"/>
        <filter val="1"/>
      </filters>
    </filterColumn>
  </autoFilter>
  <sortState xmlns:xlrd2="http://schemas.microsoft.com/office/spreadsheetml/2017/richdata2" ref="B3:D30">
    <sortCondition ref="C3"/>
  </sortState>
  <conditionalFormatting pivot="1" sqref="C4:C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R36"/>
  <sheetViews>
    <sheetView showGridLines="0" tabSelected="1" topLeftCell="A5" zoomScale="120" zoomScaleNormal="120" workbookViewId="0">
      <selection activeCell="I13" sqref="I13"/>
    </sheetView>
  </sheetViews>
  <sheetFormatPr defaultRowHeight="15" x14ac:dyDescent="0.25"/>
  <cols>
    <col min="1" max="1" width="6.42578125" customWidth="1"/>
    <col min="2" max="2" width="5.42578125" customWidth="1"/>
    <col min="3" max="3" width="24" customWidth="1"/>
    <col min="4" max="4" width="13" hidden="1" customWidth="1"/>
    <col min="5" max="5" width="6.7109375" hidden="1" customWidth="1"/>
    <col min="6" max="6" width="9.85546875" customWidth="1"/>
    <col min="7" max="7" width="9" customWidth="1"/>
    <col min="11" max="14" width="9.140625" customWidth="1"/>
    <col min="15" max="15" width="12.42578125" customWidth="1"/>
    <col min="16" max="16" width="13.7109375" customWidth="1"/>
    <col min="17" max="17" width="10.28515625" customWidth="1"/>
    <col min="18" max="18" width="10.140625" customWidth="1"/>
  </cols>
  <sheetData>
    <row r="1" spans="2:18" ht="26.25" customHeight="1" x14ac:dyDescent="0.25">
      <c r="C1" s="28" t="s">
        <v>92</v>
      </c>
    </row>
    <row r="2" spans="2:18" ht="17.25" customHeight="1" x14ac:dyDescent="0.25">
      <c r="G2" s="60" t="s">
        <v>63</v>
      </c>
      <c r="H2" s="60"/>
      <c r="I2" s="61" t="s">
        <v>67</v>
      </c>
      <c r="J2" s="60"/>
      <c r="K2" s="62" t="s">
        <v>69</v>
      </c>
      <c r="L2" s="63"/>
      <c r="M2" s="61" t="s">
        <v>72</v>
      </c>
      <c r="N2" s="60"/>
      <c r="P2" s="10" t="s">
        <v>70</v>
      </c>
    </row>
    <row r="3" spans="2:18" ht="7.5" customHeight="1" x14ac:dyDescent="0.25"/>
    <row r="4" spans="2:18" x14ac:dyDescent="0.25">
      <c r="B4" t="s">
        <v>3</v>
      </c>
      <c r="C4" t="s">
        <v>2</v>
      </c>
      <c r="D4" t="s">
        <v>51</v>
      </c>
      <c r="E4" t="s">
        <v>58</v>
      </c>
      <c r="F4" t="s">
        <v>65</v>
      </c>
      <c r="G4" s="8" t="s">
        <v>60</v>
      </c>
      <c r="H4" s="8" t="s">
        <v>61</v>
      </c>
      <c r="I4" s="8" t="s">
        <v>62</v>
      </c>
      <c r="J4" s="8" t="s">
        <v>64</v>
      </c>
      <c r="K4" s="8" t="s">
        <v>68</v>
      </c>
      <c r="L4" s="8" t="s">
        <v>71</v>
      </c>
      <c r="M4" s="8" t="s">
        <v>74</v>
      </c>
      <c r="N4" s="8" t="s">
        <v>73</v>
      </c>
      <c r="O4" t="s">
        <v>79</v>
      </c>
      <c r="P4" s="21" t="s">
        <v>66</v>
      </c>
      <c r="Q4" t="s">
        <v>95</v>
      </c>
      <c r="R4" t="s">
        <v>94</v>
      </c>
    </row>
    <row r="5" spans="2:18" x14ac:dyDescent="0.25">
      <c r="B5">
        <v>1</v>
      </c>
      <c r="C5" t="s">
        <v>0</v>
      </c>
      <c r="D5" t="s">
        <v>30</v>
      </c>
      <c r="E5" t="s">
        <v>28</v>
      </c>
      <c r="F5">
        <v>11</v>
      </c>
      <c r="G5" s="9" t="s">
        <v>77</v>
      </c>
      <c r="H5" s="9" t="s">
        <v>77</v>
      </c>
      <c r="J5" s="12"/>
      <c r="O5">
        <f>COUNTA(Список[[#This Row],[08.сен]:[22.дек]])</f>
        <v>2</v>
      </c>
      <c r="Q5">
        <v>4</v>
      </c>
    </row>
    <row r="6" spans="2:18" x14ac:dyDescent="0.25">
      <c r="B6">
        <v>2</v>
      </c>
      <c r="C6" s="31" t="s">
        <v>1</v>
      </c>
      <c r="D6" t="s">
        <v>31</v>
      </c>
      <c r="E6" t="s">
        <v>28</v>
      </c>
      <c r="F6">
        <v>11</v>
      </c>
      <c r="G6" s="9" t="s">
        <v>77</v>
      </c>
      <c r="J6" s="12"/>
      <c r="O6">
        <f>COUNTA(Список[[#This Row],[08.сен]:[22.дек]])</f>
        <v>1</v>
      </c>
    </row>
    <row r="7" spans="2:18" x14ac:dyDescent="0.25">
      <c r="B7">
        <v>3</v>
      </c>
      <c r="C7" t="s">
        <v>4</v>
      </c>
      <c r="D7" t="s">
        <v>32</v>
      </c>
      <c r="E7" t="s">
        <v>28</v>
      </c>
      <c r="F7">
        <v>1</v>
      </c>
      <c r="G7" s="9" t="s">
        <v>77</v>
      </c>
      <c r="H7" s="14" t="s">
        <v>78</v>
      </c>
      <c r="I7" s="19">
        <v>1</v>
      </c>
      <c r="J7" s="15" t="s">
        <v>78</v>
      </c>
      <c r="O7">
        <f>COUNTA(Список[[#This Row],[08.сен]:[22.дек]])</f>
        <v>4</v>
      </c>
      <c r="P7">
        <v>3</v>
      </c>
      <c r="Q7">
        <v>29</v>
      </c>
    </row>
    <row r="8" spans="2:18" x14ac:dyDescent="0.25">
      <c r="B8">
        <v>4</v>
      </c>
      <c r="C8" t="s">
        <v>5</v>
      </c>
      <c r="D8" t="s">
        <v>33</v>
      </c>
      <c r="E8" t="s">
        <v>28</v>
      </c>
      <c r="F8">
        <v>18</v>
      </c>
      <c r="G8" s="9" t="s">
        <v>77</v>
      </c>
      <c r="H8" s="9" t="s">
        <v>77</v>
      </c>
      <c r="J8" s="16">
        <v>1</v>
      </c>
      <c r="O8">
        <f>COUNTA(Список[[#This Row],[08.сен]:[22.дек]])</f>
        <v>3</v>
      </c>
      <c r="Q8">
        <v>15</v>
      </c>
    </row>
    <row r="9" spans="2:18" x14ac:dyDescent="0.25">
      <c r="B9">
        <v>5</v>
      </c>
      <c r="C9" t="s">
        <v>6</v>
      </c>
      <c r="D9" t="s">
        <v>34</v>
      </c>
      <c r="E9" t="s">
        <v>28</v>
      </c>
      <c r="F9">
        <v>2</v>
      </c>
      <c r="G9" s="9" t="s">
        <v>77</v>
      </c>
      <c r="H9" s="14" t="s">
        <v>78</v>
      </c>
      <c r="J9" s="16">
        <v>1</v>
      </c>
      <c r="O9">
        <f>COUNTA(Список[[#This Row],[08.сен]:[22.дек]])</f>
        <v>3</v>
      </c>
      <c r="P9">
        <v>4</v>
      </c>
      <c r="Q9">
        <v>27</v>
      </c>
    </row>
    <row r="10" spans="2:18" x14ac:dyDescent="0.25">
      <c r="B10">
        <v>6</v>
      </c>
      <c r="C10" t="s">
        <v>7</v>
      </c>
      <c r="D10" t="s">
        <v>35</v>
      </c>
      <c r="E10" t="s">
        <v>29</v>
      </c>
      <c r="F10">
        <v>3</v>
      </c>
      <c r="G10" s="9" t="s">
        <v>77</v>
      </c>
      <c r="H10" s="18">
        <v>1</v>
      </c>
      <c r="J10" s="19">
        <v>2</v>
      </c>
      <c r="K10" s="9">
        <v>3</v>
      </c>
      <c r="L10" s="9"/>
      <c r="M10" s="9"/>
      <c r="N10" s="9"/>
      <c r="O10">
        <f>COUNTA(Список[[#This Row],[08.сен]:[22.дек]])</f>
        <v>4</v>
      </c>
      <c r="P10">
        <v>5</v>
      </c>
      <c r="Q10">
        <v>45</v>
      </c>
      <c r="R10">
        <v>15</v>
      </c>
    </row>
    <row r="11" spans="2:18" x14ac:dyDescent="0.25">
      <c r="B11">
        <v>7</v>
      </c>
      <c r="C11" t="s">
        <v>8</v>
      </c>
      <c r="D11" t="s">
        <v>36</v>
      </c>
      <c r="E11" t="s">
        <v>28</v>
      </c>
      <c r="F11">
        <v>4</v>
      </c>
      <c r="G11" s="9" t="s">
        <v>77</v>
      </c>
      <c r="H11" s="14" t="s">
        <v>78</v>
      </c>
      <c r="I11" s="14">
        <v>1</v>
      </c>
      <c r="J11" s="12"/>
      <c r="K11" s="14">
        <v>2</v>
      </c>
      <c r="L11" s="9"/>
      <c r="M11" s="9"/>
      <c r="N11" s="9"/>
      <c r="O11">
        <f>COUNTA(Список[[#This Row],[08.сен]:[22.дек]])</f>
        <v>4</v>
      </c>
      <c r="P11">
        <v>3</v>
      </c>
      <c r="Q11">
        <v>39</v>
      </c>
    </row>
    <row r="12" spans="2:18" x14ac:dyDescent="0.25">
      <c r="B12">
        <v>8</v>
      </c>
      <c r="C12" t="s">
        <v>9</v>
      </c>
      <c r="D12" t="s">
        <v>37</v>
      </c>
      <c r="E12" t="s">
        <v>28</v>
      </c>
      <c r="F12">
        <v>15</v>
      </c>
      <c r="G12" s="9" t="s">
        <v>77</v>
      </c>
      <c r="H12" s="18">
        <v>1</v>
      </c>
      <c r="I12" s="14" t="s">
        <v>78</v>
      </c>
      <c r="J12" s="19">
        <v>2</v>
      </c>
      <c r="K12" s="9"/>
      <c r="L12" s="9"/>
      <c r="M12" s="9"/>
      <c r="N12" s="9"/>
      <c r="O12">
        <f>COUNTA(Список[[#This Row],[08.сен]:[22.дек]])</f>
        <v>4</v>
      </c>
      <c r="P12">
        <v>5</v>
      </c>
      <c r="Q12">
        <v>45</v>
      </c>
    </row>
    <row r="13" spans="2:18" x14ac:dyDescent="0.25">
      <c r="B13">
        <v>9</v>
      </c>
      <c r="C13" t="s">
        <v>75</v>
      </c>
      <c r="D13" t="s">
        <v>38</v>
      </c>
      <c r="E13" t="s">
        <v>29</v>
      </c>
      <c r="F13" s="12"/>
      <c r="G13" s="9"/>
      <c r="J13" s="12"/>
      <c r="K13" s="9"/>
      <c r="L13" s="9"/>
      <c r="M13" s="9"/>
      <c r="N13" s="9"/>
      <c r="O13">
        <f>COUNTA(Список[[#This Row],[08.сен]:[22.дек]])</f>
        <v>0</v>
      </c>
      <c r="Q13">
        <v>0</v>
      </c>
    </row>
    <row r="14" spans="2:18" x14ac:dyDescent="0.25">
      <c r="B14">
        <v>10</v>
      </c>
      <c r="C14" t="s">
        <v>10</v>
      </c>
      <c r="D14" t="s">
        <v>32</v>
      </c>
      <c r="E14" t="s">
        <v>28</v>
      </c>
      <c r="F14">
        <v>6</v>
      </c>
      <c r="G14" s="9" t="s">
        <v>77</v>
      </c>
      <c r="I14" s="19">
        <v>1</v>
      </c>
      <c r="J14" s="19">
        <v>2</v>
      </c>
      <c r="K14" s="9"/>
      <c r="L14" s="9"/>
      <c r="M14" s="9"/>
      <c r="N14" s="9"/>
      <c r="O14">
        <f>COUNTA(Список[[#This Row],[08.сен]:[22.дек]])</f>
        <v>3</v>
      </c>
      <c r="P14">
        <v>4</v>
      </c>
      <c r="Q14">
        <v>43</v>
      </c>
    </row>
    <row r="15" spans="2:18" x14ac:dyDescent="0.25">
      <c r="B15">
        <v>11</v>
      </c>
      <c r="C15" t="s">
        <v>11</v>
      </c>
      <c r="D15" t="s">
        <v>39</v>
      </c>
      <c r="E15" t="s">
        <v>28</v>
      </c>
      <c r="F15" s="13" t="s">
        <v>76</v>
      </c>
      <c r="G15" s="9"/>
      <c r="I15" s="19">
        <v>1</v>
      </c>
      <c r="J15" s="19">
        <v>2</v>
      </c>
      <c r="K15" s="9"/>
      <c r="L15" s="9"/>
      <c r="M15" s="9"/>
      <c r="N15" s="9"/>
      <c r="O15">
        <f>COUNTA(Список[[#This Row],[08.сен]:[22.дек]])</f>
        <v>2</v>
      </c>
      <c r="P15">
        <v>5</v>
      </c>
      <c r="Q15">
        <v>45</v>
      </c>
    </row>
    <row r="16" spans="2:18" x14ac:dyDescent="0.25">
      <c r="B16">
        <v>12</v>
      </c>
      <c r="C16" s="11" t="s">
        <v>12</v>
      </c>
      <c r="D16" t="s">
        <v>40</v>
      </c>
      <c r="E16" t="s">
        <v>29</v>
      </c>
      <c r="F16">
        <v>7</v>
      </c>
      <c r="G16" s="9" t="s">
        <v>77</v>
      </c>
      <c r="H16" s="14" t="s">
        <v>78</v>
      </c>
      <c r="I16" s="14" t="s">
        <v>78</v>
      </c>
      <c r="J16" s="12"/>
      <c r="K16" s="9"/>
      <c r="L16" s="9"/>
      <c r="M16" s="9"/>
      <c r="N16" s="9"/>
      <c r="O16">
        <f>COUNTA(Список[[#This Row],[08.сен]:[22.дек]])</f>
        <v>3</v>
      </c>
      <c r="P16">
        <v>4</v>
      </c>
      <c r="Q16">
        <v>24</v>
      </c>
    </row>
    <row r="17" spans="2:18" x14ac:dyDescent="0.25">
      <c r="B17">
        <v>13</v>
      </c>
      <c r="C17" t="s">
        <v>13</v>
      </c>
      <c r="D17" t="s">
        <v>36</v>
      </c>
      <c r="E17" t="s">
        <v>28</v>
      </c>
      <c r="F17">
        <v>6</v>
      </c>
      <c r="G17" s="9" t="s">
        <v>77</v>
      </c>
      <c r="H17" s="9" t="s">
        <v>77</v>
      </c>
      <c r="I17" s="19">
        <v>1</v>
      </c>
      <c r="J17" s="19">
        <v>2</v>
      </c>
      <c r="K17" s="9"/>
      <c r="L17" s="9"/>
      <c r="M17" s="9"/>
      <c r="N17" s="9"/>
      <c r="O17">
        <f>COUNTA(Список[[#This Row],[08.сен]:[22.дек]])</f>
        <v>4</v>
      </c>
      <c r="P17">
        <v>4</v>
      </c>
      <c r="Q17">
        <v>43</v>
      </c>
    </row>
    <row r="18" spans="2:18" x14ac:dyDescent="0.25">
      <c r="B18">
        <v>14</v>
      </c>
      <c r="C18" t="s">
        <v>14</v>
      </c>
      <c r="D18" t="s">
        <v>39</v>
      </c>
      <c r="E18" t="s">
        <v>28</v>
      </c>
      <c r="F18">
        <v>18</v>
      </c>
      <c r="G18" s="9" t="s">
        <v>77</v>
      </c>
      <c r="H18" s="9" t="s">
        <v>77</v>
      </c>
      <c r="J18" s="16">
        <v>1</v>
      </c>
      <c r="K18" s="9"/>
      <c r="L18" s="9"/>
      <c r="M18" s="9"/>
      <c r="N18" s="9"/>
      <c r="O18">
        <f>COUNTA(Список[[#This Row],[08.сен]:[22.дек]])</f>
        <v>3</v>
      </c>
      <c r="Q18">
        <v>15</v>
      </c>
    </row>
    <row r="19" spans="2:18" x14ac:dyDescent="0.25">
      <c r="B19">
        <v>15</v>
      </c>
      <c r="C19" t="s">
        <v>15</v>
      </c>
      <c r="D19" t="s">
        <v>41</v>
      </c>
      <c r="E19" t="s">
        <v>28</v>
      </c>
      <c r="F19">
        <v>8</v>
      </c>
      <c r="G19" s="9" t="s">
        <v>77</v>
      </c>
      <c r="H19" s="9" t="s">
        <v>77</v>
      </c>
      <c r="J19" s="16">
        <v>1</v>
      </c>
      <c r="K19" s="9"/>
      <c r="L19" s="9"/>
      <c r="M19" s="9"/>
      <c r="N19" s="9"/>
      <c r="O19">
        <f>COUNTA(Список[[#This Row],[08.сен]:[22.дек]])</f>
        <v>3</v>
      </c>
      <c r="Q19">
        <v>15</v>
      </c>
    </row>
    <row r="20" spans="2:18" x14ac:dyDescent="0.25">
      <c r="B20">
        <v>16</v>
      </c>
      <c r="C20" t="s">
        <v>16</v>
      </c>
      <c r="D20" t="s">
        <v>40</v>
      </c>
      <c r="E20" t="s">
        <v>29</v>
      </c>
      <c r="F20">
        <v>8</v>
      </c>
      <c r="G20" s="9" t="s">
        <v>77</v>
      </c>
      <c r="H20" s="9" t="s">
        <v>77</v>
      </c>
      <c r="J20" s="16">
        <v>1</v>
      </c>
      <c r="K20" s="9"/>
      <c r="L20" s="9"/>
      <c r="M20" s="9"/>
      <c r="N20" s="9"/>
      <c r="O20">
        <f>COUNTA(Список[[#This Row],[08.сен]:[22.дек]])</f>
        <v>3</v>
      </c>
      <c r="Q20">
        <v>15</v>
      </c>
    </row>
    <row r="21" spans="2:18" x14ac:dyDescent="0.25">
      <c r="B21">
        <v>17</v>
      </c>
      <c r="C21" t="s">
        <v>17</v>
      </c>
      <c r="D21" t="s">
        <v>42</v>
      </c>
      <c r="E21" t="s">
        <v>29</v>
      </c>
      <c r="F21">
        <v>9</v>
      </c>
      <c r="G21" s="9" t="s">
        <v>77</v>
      </c>
      <c r="H21" s="9" t="s">
        <v>77</v>
      </c>
      <c r="I21" s="19">
        <v>1</v>
      </c>
      <c r="J21" s="19">
        <v>2</v>
      </c>
      <c r="K21" s="9"/>
      <c r="L21" s="9"/>
      <c r="M21" s="9"/>
      <c r="N21" s="9"/>
      <c r="O21">
        <f>COUNTA(Список[[#This Row],[08.сен]:[22.дек]])</f>
        <v>4</v>
      </c>
      <c r="Q21">
        <v>30</v>
      </c>
    </row>
    <row r="22" spans="2:18" x14ac:dyDescent="0.25">
      <c r="B22">
        <v>18</v>
      </c>
      <c r="C22" t="s">
        <v>18</v>
      </c>
      <c r="D22" t="s">
        <v>43</v>
      </c>
      <c r="E22" t="s">
        <v>29</v>
      </c>
      <c r="F22">
        <v>17</v>
      </c>
      <c r="G22" s="9" t="s">
        <v>77</v>
      </c>
      <c r="H22" s="14" t="s">
        <v>78</v>
      </c>
      <c r="I22" s="19">
        <v>1</v>
      </c>
      <c r="J22" s="19">
        <v>2</v>
      </c>
      <c r="K22" s="9" t="s">
        <v>77</v>
      </c>
      <c r="L22" s="9"/>
      <c r="M22" s="9"/>
      <c r="N22" s="9"/>
      <c r="O22">
        <f>COUNTA(Список[[#This Row],[08.сен]:[22.дек]])</f>
        <v>5</v>
      </c>
      <c r="P22">
        <v>4</v>
      </c>
      <c r="Q22">
        <v>44</v>
      </c>
    </row>
    <row r="23" spans="2:18" x14ac:dyDescent="0.25">
      <c r="B23">
        <v>19</v>
      </c>
      <c r="C23" t="s">
        <v>19</v>
      </c>
      <c r="D23" t="s">
        <v>44</v>
      </c>
      <c r="E23" t="s">
        <v>28</v>
      </c>
      <c r="F23">
        <v>4</v>
      </c>
      <c r="G23" s="9" t="s">
        <v>77</v>
      </c>
      <c r="H23" s="14" t="s">
        <v>78</v>
      </c>
      <c r="I23" s="14">
        <v>1</v>
      </c>
      <c r="J23" s="12"/>
      <c r="K23" s="9">
        <v>2</v>
      </c>
      <c r="L23" s="9"/>
      <c r="M23" s="9"/>
      <c r="N23" s="9"/>
      <c r="O23">
        <f>COUNTA(Список[[#This Row],[08.сен]:[22.дек]])</f>
        <v>4</v>
      </c>
      <c r="P23">
        <v>4</v>
      </c>
      <c r="Q23">
        <v>42</v>
      </c>
    </row>
    <row r="24" spans="2:18" x14ac:dyDescent="0.25">
      <c r="B24">
        <v>20</v>
      </c>
      <c r="C24" t="s">
        <v>20</v>
      </c>
      <c r="D24" t="s">
        <v>45</v>
      </c>
      <c r="E24" t="s">
        <v>29</v>
      </c>
      <c r="F24">
        <v>9</v>
      </c>
      <c r="G24" s="9" t="s">
        <v>77</v>
      </c>
      <c r="H24" s="9" t="s">
        <v>77</v>
      </c>
      <c r="I24" s="19">
        <v>1</v>
      </c>
      <c r="J24" s="19">
        <v>2</v>
      </c>
      <c r="K24" s="9"/>
      <c r="L24" s="9"/>
      <c r="M24" s="9"/>
      <c r="N24" s="9"/>
      <c r="O24">
        <f>COUNTA(Список[[#This Row],[08.сен]:[22.дек]])</f>
        <v>4</v>
      </c>
      <c r="P24">
        <v>5</v>
      </c>
      <c r="Q24">
        <v>45</v>
      </c>
    </row>
    <row r="25" spans="2:18" x14ac:dyDescent="0.25">
      <c r="B25">
        <v>21</v>
      </c>
      <c r="C25" t="s">
        <v>21</v>
      </c>
      <c r="D25" t="s">
        <v>46</v>
      </c>
      <c r="E25" t="s">
        <v>29</v>
      </c>
      <c r="F25">
        <v>21</v>
      </c>
      <c r="G25" s="9" t="s">
        <v>77</v>
      </c>
      <c r="H25" s="9" t="s">
        <v>77</v>
      </c>
      <c r="I25" s="14" t="s">
        <v>78</v>
      </c>
      <c r="J25" s="16">
        <v>1</v>
      </c>
      <c r="K25" s="9"/>
      <c r="L25" s="9"/>
      <c r="M25" s="9"/>
      <c r="N25" s="9"/>
      <c r="O25">
        <f>COUNTA(Список[[#This Row],[08.сен]:[22.дек]])</f>
        <v>4</v>
      </c>
      <c r="Q25">
        <v>15</v>
      </c>
    </row>
    <row r="26" spans="2:18" x14ac:dyDescent="0.25">
      <c r="B26">
        <v>22</v>
      </c>
      <c r="C26" t="s">
        <v>22</v>
      </c>
      <c r="D26" t="s">
        <v>47</v>
      </c>
      <c r="E26" t="s">
        <v>29</v>
      </c>
      <c r="F26">
        <v>2</v>
      </c>
      <c r="G26" s="9" t="s">
        <v>77</v>
      </c>
      <c r="H26" s="14" t="s">
        <v>78</v>
      </c>
      <c r="J26" s="16">
        <v>1</v>
      </c>
      <c r="K26" s="9"/>
      <c r="L26" s="9"/>
      <c r="M26" s="9"/>
      <c r="N26" s="9"/>
      <c r="O26">
        <f>COUNTA(Список[[#This Row],[08.сен]:[22.дек]])</f>
        <v>3</v>
      </c>
      <c r="P26">
        <v>5</v>
      </c>
      <c r="Q26">
        <v>30</v>
      </c>
    </row>
    <row r="27" spans="2:18" x14ac:dyDescent="0.25">
      <c r="B27">
        <v>23</v>
      </c>
      <c r="C27" t="s">
        <v>24</v>
      </c>
      <c r="D27" t="s">
        <v>49</v>
      </c>
      <c r="E27" t="s">
        <v>29</v>
      </c>
      <c r="F27">
        <v>7</v>
      </c>
      <c r="G27" s="9" t="s">
        <v>77</v>
      </c>
      <c r="I27" s="14" t="s">
        <v>78</v>
      </c>
      <c r="J27" s="12"/>
      <c r="K27" s="9"/>
      <c r="L27" s="9"/>
      <c r="M27" s="9"/>
      <c r="N27" s="9"/>
      <c r="O27">
        <f>COUNTA(Список[[#This Row],[08.сен]:[22.дек]])</f>
        <v>2</v>
      </c>
      <c r="Q27">
        <v>7</v>
      </c>
    </row>
    <row r="28" spans="2:18" x14ac:dyDescent="0.25">
      <c r="B28">
        <v>24</v>
      </c>
      <c r="C28" t="s">
        <v>23</v>
      </c>
      <c r="D28" t="s">
        <v>48</v>
      </c>
      <c r="E28" t="s">
        <v>29</v>
      </c>
      <c r="F28">
        <v>21</v>
      </c>
      <c r="G28" s="9" t="s">
        <v>77</v>
      </c>
      <c r="I28" s="14" t="s">
        <v>78</v>
      </c>
      <c r="J28" s="16">
        <v>1</v>
      </c>
      <c r="K28" s="9"/>
      <c r="L28" s="9"/>
      <c r="M28" s="9"/>
      <c r="N28" s="9"/>
      <c r="O28">
        <f>COUNTA(Список[[#This Row],[08.сен]:[22.дек]])</f>
        <v>3</v>
      </c>
      <c r="P28">
        <v>4</v>
      </c>
      <c r="Q28">
        <v>27</v>
      </c>
    </row>
    <row r="29" spans="2:18" x14ac:dyDescent="0.25">
      <c r="B29">
        <v>25</v>
      </c>
      <c r="C29" t="s">
        <v>25</v>
      </c>
      <c r="D29" t="s">
        <v>34</v>
      </c>
      <c r="E29" t="s">
        <v>28</v>
      </c>
      <c r="F29">
        <v>15</v>
      </c>
      <c r="G29" s="9" t="s">
        <v>77</v>
      </c>
      <c r="H29" s="19">
        <v>1</v>
      </c>
      <c r="J29" s="19">
        <v>2</v>
      </c>
      <c r="K29" s="9"/>
      <c r="L29" s="9"/>
      <c r="M29" s="9"/>
      <c r="N29" s="9"/>
      <c r="O29">
        <f>COUNTA(Список[[#This Row],[08.сен]:[22.дек]])</f>
        <v>3</v>
      </c>
      <c r="Q29">
        <v>30</v>
      </c>
    </row>
    <row r="30" spans="2:18" x14ac:dyDescent="0.25">
      <c r="B30">
        <v>26</v>
      </c>
      <c r="C30" t="s">
        <v>26</v>
      </c>
      <c r="D30" t="s">
        <v>34</v>
      </c>
      <c r="E30" t="s">
        <v>28</v>
      </c>
      <c r="F30">
        <v>3</v>
      </c>
      <c r="G30" s="9" t="s">
        <v>77</v>
      </c>
      <c r="H30" s="19">
        <v>1</v>
      </c>
      <c r="J30" s="19">
        <v>2</v>
      </c>
      <c r="K30" s="9">
        <v>3</v>
      </c>
      <c r="L30" s="9"/>
      <c r="M30" s="9"/>
      <c r="N30" s="9"/>
      <c r="O30">
        <f>COUNTA(Список[[#This Row],[08.сен]:[22.дек]])</f>
        <v>4</v>
      </c>
      <c r="P30">
        <v>5</v>
      </c>
      <c r="Q30">
        <v>45</v>
      </c>
      <c r="R30">
        <v>15</v>
      </c>
    </row>
    <row r="31" spans="2:18" x14ac:dyDescent="0.25">
      <c r="B31">
        <v>27</v>
      </c>
      <c r="C31" t="s">
        <v>27</v>
      </c>
      <c r="D31" t="s">
        <v>50</v>
      </c>
      <c r="E31" t="s">
        <v>28</v>
      </c>
      <c r="F31">
        <v>1</v>
      </c>
      <c r="G31" s="9" t="s">
        <v>77</v>
      </c>
      <c r="H31" s="14" t="s">
        <v>78</v>
      </c>
      <c r="I31" s="19">
        <v>1</v>
      </c>
      <c r="J31" s="15" t="s">
        <v>78</v>
      </c>
      <c r="K31" s="9"/>
      <c r="L31" s="9"/>
      <c r="M31" s="9"/>
      <c r="N31" s="9"/>
      <c r="O31">
        <f>COUNTA(Список[[#This Row],[08.сен]:[22.дек]])</f>
        <v>4</v>
      </c>
      <c r="P31">
        <v>4</v>
      </c>
      <c r="Q31">
        <v>32</v>
      </c>
    </row>
    <row r="32" spans="2:18" x14ac:dyDescent="0.25">
      <c r="B32" t="s">
        <v>83</v>
      </c>
      <c r="F32">
        <f>SUBTOTAL(102,Список[Вар. ЛР])</f>
        <v>25</v>
      </c>
      <c r="G32" s="9"/>
      <c r="H32" s="9">
        <f>SUBTOTAL(102,Список[22.сен])</f>
        <v>4</v>
      </c>
      <c r="I32">
        <f>SUBTOTAL(102,Список[06.окт])</f>
        <v>10</v>
      </c>
      <c r="J32" s="9">
        <f>COUNTIF(Список[20.окт],1)</f>
        <v>8</v>
      </c>
      <c r="K32">
        <f>COUNTIF(Список[17.ноя],1)</f>
        <v>0</v>
      </c>
      <c r="L32">
        <f>COUNTIF(Список[01.дек],1)</f>
        <v>0</v>
      </c>
      <c r="M32">
        <f>COUNTIF(Список[15.дек],1)</f>
        <v>0</v>
      </c>
      <c r="N32">
        <f>COUNTIF(Список[22.дек],1)</f>
        <v>0</v>
      </c>
      <c r="P32">
        <f>SUBTOTAL(102,Список[27.окт])</f>
        <v>16</v>
      </c>
      <c r="Q32" s="32"/>
      <c r="R32" s="32"/>
    </row>
    <row r="33" spans="2:16" x14ac:dyDescent="0.25">
      <c r="B33" s="11" t="s">
        <v>84</v>
      </c>
      <c r="C33" s="11"/>
      <c r="D33" s="11"/>
      <c r="E33" s="11"/>
      <c r="F33" s="11"/>
      <c r="G33" s="24"/>
      <c r="H33" s="24"/>
      <c r="I33" s="11"/>
      <c r="J33" s="24">
        <f>COUNTIF(Список[20.окт],2)</f>
        <v>10</v>
      </c>
      <c r="K33" s="11">
        <f>COUNTIF(Список[17.ноя],2)</f>
        <v>2</v>
      </c>
      <c r="L33" s="11">
        <f>COUNTIF(Список[01.дек],2)</f>
        <v>0</v>
      </c>
      <c r="M33" s="11">
        <f>COUNTIF(Список[15.дек],2)</f>
        <v>0</v>
      </c>
      <c r="N33" s="11">
        <f>COUNTIF(Список[22.дек],2)</f>
        <v>0</v>
      </c>
      <c r="P33">
        <f>COUNTIF(Список[27.окт],5)</f>
        <v>6</v>
      </c>
    </row>
    <row r="34" spans="2:16" x14ac:dyDescent="0.25">
      <c r="B34" s="17" t="s">
        <v>87</v>
      </c>
      <c r="C34" s="17"/>
      <c r="D34" s="17"/>
      <c r="E34" s="17"/>
      <c r="F34" s="23"/>
      <c r="G34" s="23"/>
      <c r="H34" s="17"/>
      <c r="I34" s="23"/>
      <c r="J34" s="17"/>
      <c r="K34" s="17">
        <f>COUNTIF(Список[17.ноя],3)</f>
        <v>2</v>
      </c>
      <c r="L34" s="17">
        <f>COUNTIF(Список[01.дек],3)</f>
        <v>0</v>
      </c>
      <c r="M34" s="17">
        <f>COUNTIF(Список[15.дек],3)</f>
        <v>0</v>
      </c>
      <c r="N34" s="17">
        <f>COUNTIF(Список[22.дек],3)</f>
        <v>0</v>
      </c>
      <c r="O34" s="1"/>
      <c r="P34">
        <f>COUNTIF(Список[27.окт],4)</f>
        <v>8</v>
      </c>
    </row>
    <row r="35" spans="2:16" x14ac:dyDescent="0.25">
      <c r="B35" s="17" t="s">
        <v>88</v>
      </c>
      <c r="C35" s="17"/>
      <c r="D35" s="17"/>
      <c r="E35" s="17"/>
      <c r="F35" s="23"/>
      <c r="G35" s="23"/>
      <c r="H35" s="17"/>
      <c r="I35" s="23"/>
      <c r="J35" s="17"/>
      <c r="K35" s="17">
        <f>COUNTIF(Список[17.ноя],4)</f>
        <v>0</v>
      </c>
      <c r="L35" s="17">
        <f>COUNTIF(Список[01.дек],4)</f>
        <v>0</v>
      </c>
      <c r="M35" s="17">
        <f>COUNTIF(Список[15.дек],4)</f>
        <v>0</v>
      </c>
      <c r="N35" s="17">
        <f>COUNTIF(Список[22.дек],4)</f>
        <v>0</v>
      </c>
      <c r="O35" s="1"/>
      <c r="P35">
        <f>COUNTIF(Список[27.окт],3)</f>
        <v>2</v>
      </c>
    </row>
    <row r="36" spans="2:16" x14ac:dyDescent="0.25">
      <c r="P36">
        <f>COUNTIF(Список[27.окт],"&lt;3")</f>
        <v>0</v>
      </c>
    </row>
  </sheetData>
  <mergeCells count="4">
    <mergeCell ref="G2:H2"/>
    <mergeCell ref="I2:J2"/>
    <mergeCell ref="K2:L2"/>
    <mergeCell ref="M2:N2"/>
  </mergeCells>
  <conditionalFormatting sqref="O5:O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4:O3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{2EC6AC69-A471-4F88-B4EC-1DCA2B2FF77F}</x14:id>
        </ext>
      </extLst>
    </cfRule>
  </conditionalFormatting>
  <conditionalFormatting sqref="P5:P31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{38798A35-A1F8-493B-AB6E-0AB96D564358}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EC6AC69-A471-4F88-B4EC-1DCA2B2FF7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O34:O35</xm:sqref>
        </x14:conditionalFormatting>
        <x14:conditionalFormatting xmlns:xm="http://schemas.microsoft.com/office/excel/2006/main">
          <x14:cfRule type="dataBar" id="{38798A35-A1F8-493B-AB6E-0AB96D5643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P5:P31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E25"/>
  <sheetViews>
    <sheetView workbookViewId="0">
      <selection activeCell="G15" sqref="G15"/>
    </sheetView>
  </sheetViews>
  <sheetFormatPr defaultRowHeight="15" x14ac:dyDescent="0.25"/>
  <cols>
    <col min="1" max="1" width="17.28515625" bestFit="1" customWidth="1"/>
    <col min="2" max="2" width="31.5703125" bestFit="1" customWidth="1"/>
    <col min="3" max="3" width="16.140625" customWidth="1"/>
    <col min="4" max="5" width="10.7109375" customWidth="1"/>
  </cols>
  <sheetData>
    <row r="3" spans="1:5" x14ac:dyDescent="0.25">
      <c r="A3" s="2" t="s">
        <v>52</v>
      </c>
      <c r="B3" t="s">
        <v>54</v>
      </c>
      <c r="C3" t="s">
        <v>55</v>
      </c>
      <c r="D3" t="s">
        <v>56</v>
      </c>
      <c r="E3" t="s">
        <v>57</v>
      </c>
    </row>
    <row r="4" spans="1:5" x14ac:dyDescent="0.25">
      <c r="A4" s="6" t="s">
        <v>34</v>
      </c>
      <c r="B4">
        <v>3</v>
      </c>
      <c r="C4">
        <v>1</v>
      </c>
      <c r="D4">
        <v>1</v>
      </c>
      <c r="E4">
        <v>1</v>
      </c>
    </row>
    <row r="5" spans="1:5" x14ac:dyDescent="0.25">
      <c r="A5" s="4" t="s">
        <v>32</v>
      </c>
      <c r="B5">
        <v>2</v>
      </c>
    </row>
    <row r="6" spans="1:5" x14ac:dyDescent="0.25">
      <c r="A6" s="4" t="s">
        <v>36</v>
      </c>
      <c r="B6">
        <v>2</v>
      </c>
    </row>
    <row r="7" spans="1:5" x14ac:dyDescent="0.25">
      <c r="A7" s="4" t="s">
        <v>39</v>
      </c>
      <c r="B7">
        <v>2</v>
      </c>
    </row>
    <row r="8" spans="1:5" x14ac:dyDescent="0.25">
      <c r="A8" s="4" t="s">
        <v>40</v>
      </c>
      <c r="B8">
        <v>2</v>
      </c>
    </row>
    <row r="9" spans="1:5" x14ac:dyDescent="0.25">
      <c r="A9" s="6" t="s">
        <v>30</v>
      </c>
      <c r="B9">
        <v>1</v>
      </c>
      <c r="C9">
        <v>1</v>
      </c>
      <c r="D9">
        <v>1</v>
      </c>
      <c r="E9">
        <v>1</v>
      </c>
    </row>
    <row r="10" spans="1:5" x14ac:dyDescent="0.25">
      <c r="A10" s="7" t="s">
        <v>44</v>
      </c>
      <c r="B10">
        <v>1</v>
      </c>
    </row>
    <row r="11" spans="1:5" x14ac:dyDescent="0.25">
      <c r="A11" s="4" t="s">
        <v>43</v>
      </c>
      <c r="B11">
        <v>1</v>
      </c>
    </row>
    <row r="12" spans="1:5" x14ac:dyDescent="0.25">
      <c r="A12" s="7" t="s">
        <v>38</v>
      </c>
      <c r="B12">
        <v>1</v>
      </c>
    </row>
    <row r="13" spans="1:5" x14ac:dyDescent="0.25">
      <c r="A13" s="6" t="s">
        <v>50</v>
      </c>
      <c r="B13">
        <v>1</v>
      </c>
      <c r="C13">
        <v>1</v>
      </c>
      <c r="D13">
        <v>1</v>
      </c>
      <c r="E13">
        <v>1</v>
      </c>
    </row>
    <row r="14" spans="1:5" x14ac:dyDescent="0.25">
      <c r="A14" s="4" t="s">
        <v>33</v>
      </c>
      <c r="B14">
        <v>1</v>
      </c>
    </row>
    <row r="15" spans="1:5" x14ac:dyDescent="0.25">
      <c r="A15" s="4" t="s">
        <v>35</v>
      </c>
      <c r="B15">
        <v>1</v>
      </c>
    </row>
    <row r="16" spans="1:5" x14ac:dyDescent="0.25">
      <c r="A16" s="4" t="s">
        <v>37</v>
      </c>
      <c r="B16">
        <v>1</v>
      </c>
    </row>
    <row r="17" spans="1:5" x14ac:dyDescent="0.25">
      <c r="A17" s="4" t="s">
        <v>46</v>
      </c>
      <c r="B17">
        <v>1</v>
      </c>
    </row>
    <row r="18" spans="1:5" x14ac:dyDescent="0.25">
      <c r="A18" s="6" t="s">
        <v>41</v>
      </c>
      <c r="B18">
        <v>1</v>
      </c>
      <c r="C18">
        <v>1</v>
      </c>
      <c r="D18">
        <v>1</v>
      </c>
      <c r="E18">
        <v>1</v>
      </c>
    </row>
    <row r="19" spans="1:5" x14ac:dyDescent="0.25">
      <c r="A19" s="4" t="s">
        <v>47</v>
      </c>
      <c r="B19">
        <v>1</v>
      </c>
    </row>
    <row r="20" spans="1:5" x14ac:dyDescent="0.25">
      <c r="A20" s="6" t="s">
        <v>45</v>
      </c>
      <c r="B20">
        <v>1</v>
      </c>
      <c r="C20">
        <v>1</v>
      </c>
      <c r="D20">
        <v>1</v>
      </c>
      <c r="E20">
        <v>1</v>
      </c>
    </row>
    <row r="21" spans="1:5" x14ac:dyDescent="0.25">
      <c r="A21" s="7" t="s">
        <v>48</v>
      </c>
      <c r="B21">
        <v>1</v>
      </c>
    </row>
    <row r="22" spans="1:5" x14ac:dyDescent="0.25">
      <c r="A22" s="7" t="s">
        <v>49</v>
      </c>
      <c r="B22">
        <v>1</v>
      </c>
    </row>
    <row r="23" spans="1:5" x14ac:dyDescent="0.25">
      <c r="A23" s="6" t="s">
        <v>42</v>
      </c>
      <c r="B23">
        <v>1</v>
      </c>
      <c r="C23">
        <v>1</v>
      </c>
      <c r="D23">
        <v>1</v>
      </c>
      <c r="E23">
        <v>1</v>
      </c>
    </row>
    <row r="24" spans="1:5" x14ac:dyDescent="0.25">
      <c r="A24" s="7" t="s">
        <v>31</v>
      </c>
      <c r="B24">
        <v>1</v>
      </c>
    </row>
    <row r="25" spans="1:5" x14ac:dyDescent="0.25">
      <c r="A25" s="3" t="s">
        <v>53</v>
      </c>
      <c r="B25">
        <v>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C5"/>
  <sheetViews>
    <sheetView workbookViewId="0">
      <selection activeCell="F25" sqref="F25"/>
    </sheetView>
  </sheetViews>
  <sheetFormatPr defaultRowHeight="15" x14ac:dyDescent="0.25"/>
  <cols>
    <col min="2" max="2" width="17.28515625" bestFit="1" customWidth="1"/>
    <col min="3" max="3" width="31.140625" bestFit="1" customWidth="1"/>
  </cols>
  <sheetData>
    <row r="2" spans="2:3" x14ac:dyDescent="0.25">
      <c r="B2" s="2" t="s">
        <v>52</v>
      </c>
      <c r="C2" t="s">
        <v>59</v>
      </c>
    </row>
    <row r="3" spans="2:3" x14ac:dyDescent="0.25">
      <c r="B3" s="3" t="s">
        <v>28</v>
      </c>
      <c r="C3" s="5">
        <v>0.59259259259259256</v>
      </c>
    </row>
    <row r="4" spans="2:3" x14ac:dyDescent="0.25">
      <c r="B4" s="3" t="s">
        <v>29</v>
      </c>
      <c r="C4" s="5">
        <v>0.40740740740740738</v>
      </c>
    </row>
    <row r="5" spans="2:3" x14ac:dyDescent="0.25">
      <c r="B5" s="3" t="s">
        <v>53</v>
      </c>
      <c r="C5" s="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Резюме</vt:lpstr>
      <vt:lpstr>По студентам</vt:lpstr>
      <vt:lpstr>По группам</vt:lpstr>
      <vt:lpstr>Долги</vt:lpstr>
      <vt:lpstr>Список</vt:lpstr>
      <vt:lpstr>Имена</vt:lpstr>
      <vt:lpstr>Пол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Valery Artemyev</dc:creator>
  <cp:lastModifiedBy>Valery Artemyev</cp:lastModifiedBy>
  <dcterms:created xsi:type="dcterms:W3CDTF">2025-11-04T13:07:09Z</dcterms:created>
  <dcterms:modified xsi:type="dcterms:W3CDTF">2025-11-30T23:01:19Z</dcterms:modified>
</cp:coreProperties>
</file>